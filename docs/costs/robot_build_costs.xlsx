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Prices" sheetId="2" state="visible" r:id="rId4"/>
    <sheet name="Arm" sheetId="3" state="visible" r:id="rId5"/>
    <sheet name="Rover" sheetId="4" state="visible" r:id="rId6"/>
    <sheet name="Hexapod" sheetId="5" state="visible" r:id="rId7"/>
    <sheet name="All three"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<sst xmlns="http://schemas.openxmlformats.org/spreadsheetml/2006/main" count="1249" uniqueCount="619">
  <si>
    <t xml:space="preserve">Robot build costs</t>
  </si>
  <si>
    <t xml:space="preserve">Desktop robot arm, tracked rover and hexapod. Canadian dollars, prices checked 26 Oct 2026 at Canadian retailers (some US stores where nothing Canadian was found). Shipping is not included. Change any blue cell and every total updates.</t>
  </si>
  <si>
    <t xml:space="preserve">Assumptions</t>
  </si>
  <si>
    <t xml:space="preserve">HST (New Brunswick)</t>
  </si>
  <si>
    <t xml:space="preserve">Harmonized sales tax</t>
  </si>
  <si>
    <t xml:space="preserve">USD to CAD</t>
  </si>
  <si>
    <t xml:space="preserve">Bank of Canada, 23 Oct 2026</t>
  </si>
  <si>
    <t xml:space="preserve">PETG price per kg</t>
  </si>
  <si>
    <t xml:space="preserve">Sunlu PETG 1 kg at Canada Computers; Prusament PETG is on the Prices sheet</t>
  </si>
  <si>
    <t xml:space="preserve">Electricity ($/kWh)</t>
  </si>
  <si>
    <t xml:space="preserve">NB Power residential energy charge</t>
  </si>
  <si>
    <t xml:space="preserve">Printer power while printing PETG (kW)</t>
  </si>
  <si>
    <t xml:space="preserve">Assumption: MK3S average with the bed at 80-90 °C</t>
  </si>
  <si>
    <t xml:space="preserve">What each robot costs</t>
  </si>
  <si>
    <t xml:space="preserve">Robot</t>
  </si>
  <si>
    <t xml:space="preserve">Bought parts</t>
  </si>
  <si>
    <t xml:space="preserve">PETG</t>
  </si>
  <si>
    <t xml:space="preserve">Electricity</t>
  </si>
  <si>
    <t xml:space="preserve">Total before tax</t>
  </si>
  <si>
    <t xml:space="preserve">Total with HST</t>
  </si>
  <si>
    <t xml:space="preserve">Budget total with HST</t>
  </si>
  <si>
    <t xml:space="preserve">Desktop robot arm</t>
  </si>
  <si>
    <t xml:space="preserve">Tracked rover</t>
  </si>
  <si>
    <t xml:space="preserve">Hexapod</t>
  </si>
  <si>
    <t xml:space="preserve">All three, bought together</t>
  </si>
  <si>
    <t xml:space="preserve">Saving from shared packs</t>
  </si>
  <si>
    <t xml:space="preserve">Value of the parts each robot actually uses (its share of every pack)</t>
  </si>
  <si>
    <t xml:space="preserve">Parts used</t>
  </si>
  <si>
    <t xml:space="preserve">PETG used</t>
  </si>
  <si>
    <t xml:space="preserve">• Not counted: the Logitech Brio 4K you already own (C$249.99 new at Canada Computers), shipping, and tools.</t>
  </si>
  <si>
    <t xml:space="preserve">• Tools you may need: soldering iron (also sets the rover's heat-set inserts), hex keys 1.5 and 2.5 mm, small Phillips screwdriver, multimeter, calipers, needle file, hacksaw and file for the rover's steel plates.</t>
  </si>
  <si>
    <t xml:space="preserve">• Budget total: the same build with the cheapest price found per item (servos direct from Waveshare, and so on).</t>
  </si>
  <si>
    <t xml:space="preserve">• Prices with confidence 'estimate' on the Prices sheet are typical store prices where no listing could be read; check them before ordering. Amazon.ca was not readable by the price search and is often cheaper for multi-packs.</t>
  </si>
  <si>
    <t xml:space="preserve">• PETG and print hours: arm from its round-3 slices (the new claw is heavier); rover from its round-2 slices; hexapod estimated. They change with each design round.</t>
  </si>
  <si>
    <t xml:space="preserve">Prices (CAD, before tax and shipping)</t>
  </si>
  <si>
    <t xml:space="preserve">Checked 26 Oct 2026. Blue cells are inputs you can change; everything else recalculates. USD prices convert at the rate on the Summary sheet. Confidence: high = price seen on the product page; medium = search snippet, unclear variant or a typical store price; estimate = no price could be read, a typical price is used.</t>
  </si>
  <si>
    <t xml:space="preserve">Key</t>
  </si>
  <si>
    <t xml:space="preserve">Item</t>
  </si>
  <si>
    <t xml:space="preserve">Listing</t>
  </si>
  <si>
    <t xml:space="preserve">Retailer</t>
  </si>
  <si>
    <t xml:space="preserve">Pack qty</t>
  </si>
  <si>
    <t xml:space="preserve">Pack price</t>
  </si>
  <si>
    <t xml:space="preserve">Currency</t>
  </si>
  <si>
    <t xml:space="preserve">Pack price (CAD)</t>
  </si>
  <si>
    <t xml:space="preserve">Unit price (CAD)</t>
  </si>
  <si>
    <t xml:space="preserve">Budget option</t>
  </si>
  <si>
    <t xml:space="preserve">Budget pack qty</t>
  </si>
  <si>
    <t xml:space="preserve">Budget pack (CAD)</t>
  </si>
  <si>
    <t xml:space="preserve">Confidence</t>
  </si>
  <si>
    <t xml:space="preserve">Notes</t>
  </si>
  <si>
    <t xml:space="preserve">Buy link</t>
  </si>
  <si>
    <t xml:space="preserve">Budget link</t>
  </si>
  <si>
    <t xml:space="preserve">breadboard</t>
  </si>
  <si>
    <t xml:space="preserve">Mini breadboard</t>
  </si>
  <si>
    <t xml:space="preserve">Mini breadboard 170 tie-point, self-adhesive (white)</t>
  </si>
  <si>
    <t xml:space="preserve">Canada Robotix</t>
  </si>
  <si>
    <t xml:space="preserve">CAD</t>
  </si>
  <si>
    <t xml:space="preserve">high</t>
  </si>
  <si>
    <t xml:space="preserve">Need 1 (R). In stock (50+). RobotShop costs more: pair $6.30 (not stocked, ordered on demand) or single $7.50.</t>
  </si>
  <si>
    <t xml:space="preserve">https://www.canadarobotix.com/products/941</t>
  </si>
  <si>
    <t xml:space="preserve">brio</t>
  </si>
  <si>
    <t xml:space="preserve">Logitech Brio 4K</t>
  </si>
  <si>
    <t xml:space="preserve">Logitech BRIO Webcam with 4K Ultra HD Video (960-001105)</t>
  </si>
  <si>
    <t xml:space="preserve">Canada Computers</t>
  </si>
  <si>
    <t xml:space="preserve">Reference only (already owned). Sold out online and at all stores. Staples.ca lists the renamed Logitech 4K Pro Webcam (960-001390) at C$249.99. Logitech.com/en-ca could not be read.</t>
  </si>
  <si>
    <t xml:space="preserve">https://www.canadacomputers.com/en/webcam/105281/logitech-brio-webcam-with-4k-ultra-hd-video-black-960-001105.html</t>
  </si>
  <si>
    <t xml:space="preserve">capkit.1000uF</t>
  </si>
  <si>
    <t xml:space="preserve">1000 µF capacitor</t>
  </si>
  <si>
    <t xml:space="preserve">SparkFun electrolytic decoupling capacitor 1000 uF / 25 V (single, COM-08982)</t>
  </si>
  <si>
    <t xml:space="preserve">RobotShop (Canada)</t>
  </si>
  <si>
    <t xml:space="preserve">capkit part 1 of 2 (sum capkit.* rows). Need 3 (A1 + H2) = $2.13. Pack size not printed on the page; SparkFun COM-08982 is sold singly and RobotShop's 10-pack lists '10 x COM-08982' ($7.28). 25 V exceeds the 10-16 V spec (fine; can is larger). No readable assortment covered 1000 uF cheaper. Alt: SparkFun Capacitor Kit 115 pcs (10x100 uF, 10x1000 uF, 25x100 nF, etc.) CA$16.43 at RobotShop covers capkit + ceramickit.</t>
  </si>
  <si>
    <t xml:space="preserve">https://ca.robotshop.com/products/sparkfun-electrolytic-decoupling-capacitors-1000uf-25v</t>
  </si>
  <si>
    <t xml:space="preserve">capkit.100uF</t>
  </si>
  <si>
    <t xml:space="preserve">100 µF capacitor</t>
  </si>
  <si>
    <t xml:space="preserve">SparkFun electrolytic decoupling capacitor 100 uF / 25 V (single)</t>
  </si>
  <si>
    <t xml:space="preserve">capkit part 2 of 2. Need 1 (R). Pack size not printed (SparkFun part is a single). 25 V &gt;= 16 V spec. Alt: Canada Robotix 100 uF 50 V 2-pack $0.99.</t>
  </si>
  <si>
    <t xml:space="preserve">https://ca.robotshop.com/products/sparkfun-electrolytic-decoupling-capacitors-100uf-25v</t>
  </si>
  <si>
    <t xml:space="preserve">cells18650</t>
  </si>
  <si>
    <t xml:space="preserve">18650 cell, protected</t>
  </si>
  <si>
    <t xml:space="preserve">Panasonic NCR18650B 18650 Button Top Protected Rechargeable Battery</t>
  </si>
  <si>
    <t xml:space="preserve">FlashLight World (Magog QC, Canada)</t>
  </si>
  <si>
    <t xml:space="preserve">LG MJ1 INR18650-MJ1 3500mAh protected button top, 68.8 mm (sold singly) (Illumn (illumn.com))</t>
  </si>
  <si>
    <t xml:space="preserve">Checked 2026-10-26. Price per cell; og:price:currency CAD. Spec table: protected (PCB), button top, 3400 mAh nominal (3350 mAh datasheet). Ships from Canada (free shipping to most regions). Final sale. flashlightworld.ca redirects to this .com domain. Cheaper option: Illumn KeepPower 3500 mAh NCR18650GA protected button top, 9.99 USD, https://illumn.com/18650-keeppower-3500mah-sanyo-ncr18650ga-protected-button-top.html, but Illumn is based in San Jose, USA (prices in USD), not in Canada.</t>
  </si>
  <si>
    <t xml:space="preserve">https://www.flashlightworld.com/collections/18650-batteries/products/panasonic-ncr-18650b-3400mah-4-9a-protected-button-top-battery</t>
  </si>
  <si>
    <t xml:space="preserve">https://illumn.com/18650-lg-mj1-inr18650-mj1-high-discharge-protected-button-top.html</t>
  </si>
  <si>
    <t xml:space="preserve">ceramickit</t>
  </si>
  <si>
    <t xml:space="preserve">100 nF capacitors</t>
  </si>
  <si>
    <t xml:space="preserve">Ceramic capacitor 0.1 uF (100 nF) 50 V, 5 pcs</t>
  </si>
  <si>
    <t xml:space="preserve">Need 4 (R3 + H1): one pack. In stock (50+). Alt: RobotShop SparkFun 0.1 uF ceramic $0.46 each (pack size not stated).</t>
  </si>
  <si>
    <t xml:space="preserve">https://www.canadarobotix.com/products/905</t>
  </si>
  <si>
    <t xml:space="preserve">charger18650</t>
  </si>
  <si>
    <t xml:space="preserve">Li-ion charger, 2 bays</t>
  </si>
  <si>
    <t xml:space="preserve">Xtar X2 Li-ion/Ni-MH Dual Bay Smart Quick Charger (updated)</t>
  </si>
  <si>
    <t xml:space="preserve">Illumn (illumn.com)</t>
  </si>
  <si>
    <t xml:space="preserve">USD</t>
  </si>
  <si>
    <t xml:space="preserve">In stock; includes AC wall plug; 2 A x1 / 1 A x2; fits up to protected 21700. US store (see cells18650). Canadian-stock alternative: Canada Robotix Nitecore D2 Digicharger #3049 C$39.99 (5 left).</t>
  </si>
  <si>
    <t xml:space="preserve">https://illumn.com/chargers/xtar-x2-li-ion-ni-mh-dual-bay-smart-quick-charger.html</t>
  </si>
  <si>
    <t xml:space="preserve">consumables.ca</t>
  </si>
  <si>
    <t xml:space="preserve">CA glue</t>
  </si>
  <si>
    <t xml:space="preserve">Gorilla Super Glue 2-pack (CA glue)</t>
  </si>
  <si>
    <t xml:space="preserve">Princess Auto</t>
  </si>
  <si>
    <t xml:space="preserve">consumables part 3 of 4. Container size listed as 0.2 oz. IN-STORE ONLY (no shipping). Home Depot Canada CA-glue pages showed no price.</t>
  </si>
  <si>
    <t xml:space="preserve">https://www.princessauto.com/en/product/PA0008551582</t>
  </si>
  <si>
    <t xml:space="preserve">consumables.foamtape</t>
  </si>
  <si>
    <t xml:space="preserve">Mounting tape</t>
  </si>
  <si>
    <t xml:space="preserve">Scotch-Mount double-sided mounting tape 1 x 60 in</t>
  </si>
  <si>
    <t xml:space="preserve">consumables part 1 of 4 (shared A/R/H). Page says double-sided Scotch-Mount; foam construction not stated. Available.</t>
  </si>
  <si>
    <t xml:space="preserve">https://www.princessauto.com/en/product/PA0009298993</t>
  </si>
  <si>
    <t xml:space="preserve">consumables.hotglue</t>
  </si>
  <si>
    <t xml:space="preserve">Hot-glue sticks</t>
  </si>
  <si>
    <t xml:space="preserve">Mini glue gun sticks 5/16 x 4 in, 12 pcs</t>
  </si>
  <si>
    <t xml:space="preserve">consumables part 2 of 4. Available.</t>
  </si>
  <si>
    <t xml:space="preserve">https://www.princessauto.com/en/product/PA0008369621</t>
  </si>
  <si>
    <t xml:space="preserve">consumables.threadlocker</t>
  </si>
  <si>
    <t xml:space="preserve">Threadlocker (blue)</t>
  </si>
  <si>
    <t xml:space="preserve">Loctite 242 threadlocker, blue (medium strength), 6 mL</t>
  </si>
  <si>
    <t xml:space="preserve">consumables part 4 of 4. Alt: Home Depot Canada Permatex Blue 10 mL $15.98; Princess Auto Permatex blue gel 10 g $17.99 (in-store only).</t>
  </si>
  <si>
    <t xml:space="preserve">https://ca.robotshop.com/products/loctite-threadlocker-blue-242-6ml</t>
  </si>
  <si>
    <t xml:space="preserve">dcjack</t>
  </si>
  <si>
    <t xml:space="preserve">DC jack 5.5 × 2.1</t>
  </si>
  <si>
    <t xml:space="preserve">Metal Panel Mount 2.1mm DC Barrel Jack, 5.5 x 2.1 mm (CON-152)</t>
  </si>
  <si>
    <t xml:space="preserve">BC Robotics</t>
  </si>
  <si>
    <t xml:space="preserve">In stock. 8 mm hole, panels up to 2.25 mm thick, solder tabs. Thread/nut and current rating not stated.</t>
  </si>
  <si>
    <t xml:space="preserve">https://bc-robotics.com/shop/metal-panel-mount-2-1mm-dc-barrel-jack/</t>
  </si>
  <si>
    <t xml:space="preserve">dcswitch</t>
  </si>
  <si>
    <t xml:space="preserve">Inline DC switch</t>
  </si>
  <si>
    <t xml:space="preserve">Inline Power Switch - 2.1mm DC Barrel Plug, 5.5 x 2.1 plug-to-jack, 300 mm (CAB-017)</t>
  </si>
  <si>
    <t xml:space="preserve">The only readable listing that states &gt;= 5 A: 5 A at 12 V or less (2 A at 120 V). OUT OF STOCK. In-stock alternative: RobotShop CA SparkFun 3-inch Barrel Jack 2.1mm Power Switch C$5.00 (RB-Spa-790), no current rating stated. The Universal-Solder inline switch (C$1.99) is rated under 3 A, which fails the spec.</t>
  </si>
  <si>
    <t xml:space="preserve">https://bc-robotics.com/shop/inline-power-switch-2-1mm-barrel-plug/</t>
  </si>
  <si>
    <t xml:space="preserve">dowel2x24</t>
  </si>
  <si>
    <t xml:space="preserve">Ø2 mm steel rod 100 mm</t>
  </si>
  <si>
    <t xml:space="preserve">2 mm diameter shaft, 100 mm long, material not stated (cut into 24 mm pins)</t>
  </si>
  <si>
    <t xml:space="preserve">Need 70 pins x 24 mm (R): 4 pins per rod -&gt; 18 rods = $17.10 plus cutting/deburring (~$0.24 per pin). Material and tolerance not stated ('Generic'). In stock. Accu sells 2 x 24 mm DIN 7 dowel pins (HDP-2-24-A1, A1 stainless, m6) but prices aren't readable; McMaster likewise.</t>
  </si>
  <si>
    <t xml:space="preserve">https://bc-robotics.com/shop/2-x-100mm-shaft/</t>
  </si>
  <si>
    <t xml:space="preserve">electricity</t>
  </si>
  <si>
    <t xml:space="preserve">Electricity (NB Power)</t>
  </si>
  <si>
    <t xml:space="preserve">NB Power residential energy charge, per kWh (15.39 c base + 0.45 c variance account charge)</t>
  </si>
  <si>
    <t xml:space="preserve">NB Power</t>
  </si>
  <si>
    <t xml:space="preserve">15.84 c/kWh for all kWh, effective 2026-04-14. pack_qty = 1 kWh. Monthly service charge $30.82 urban / $33.82 rural/seasonal (not per kWh). HST extra.</t>
  </si>
  <si>
    <t xml:space="preserve">https://nbpower.com/en/products-services/residential/rates</t>
  </si>
  <si>
    <t xml:space="preserve">esp32</t>
  </si>
  <si>
    <t xml:space="preserve">ESP32 DevKit</t>
  </si>
  <si>
    <t xml:space="preserve">ESP32 Devkit ESP-WROOM-32, 4MB, CP210x USB-UART, micro-USB (SKU 26232)</t>
  </si>
  <si>
    <t xml:space="preserve">Universal-Solder (CANADUINO)</t>
  </si>
  <si>
    <t xml:space="preserve">Price is the 3-9 qty tier (C$10.95 single); need 3 -&gt; C$29.58. In stock. Pin count (30 vs 38) and whether headers are soldered are NOT stated; check photos before ordering. Alternatives (pin count also not stated): BC Robotics ESP32 Development Board C$12.95 (CP2102, in stock); Canada Robotix #2594 C$12.99 (6 left). Amazon.ca blocks automated page reads, so no Amazon.ca prices could be checked.</t>
  </si>
  <si>
    <t xml:space="preserve">https://www.universal-solder.ca/product/esp32-devkit-esp-wroom-32-4mb-cp2101-usb-uart/</t>
  </si>
  <si>
    <t xml:space="preserve">flatbar</t>
  </si>
  <si>
    <t xml:space="preserve">14 ga steel strip</t>
  </si>
  <si>
    <t xml:space="preserve">14-gauge (1.9 mm) steel strip or sheet, small piece</t>
  </si>
  <si>
    <t xml:space="preserve">Princess Auto / Home Depot (typical)</t>
  </si>
  <si>
    <t xml:space="preserve">estimate</t>
  </si>
  <si>
    <t xml:space="preserve">Estimate. Two 21 × 10 and two 14 × 8 mm plates are cut from it</t>
  </si>
  <si>
    <t xml:space="preserve">fuseholder</t>
  </si>
  <si>
    <t xml:space="preserve">Inline fuse holder</t>
  </si>
  <si>
    <t xml:space="preserve">2 x Inline ATO/ATC Fuse Holder 18AWG (CAB-157, each incl. one 5A ATO fuse) + Littelfuse Japanese ATO assortment 5-pk (5/7.5/10/15/20A)</t>
  </si>
  <si>
    <t xml:space="preserve">BC Robotics + Partsource</t>
  </si>
  <si>
    <t xml:space="preserve">Two retailers. 2 holders x C$2.95 = C$5.90 (in stock, 300 mm 18AWG leads) + Partsource 009403001ZP assortment C$7.99 (https://partsource.ca/products/009403001zp-littelfuse-japanese-ato-fuse-assortment-5-pk) for the 7.5A blade. Total: 2 holders, 3 x 5A, 1 x 7.5A plus spares. unit_price = per holder incl. fuses.</t>
  </si>
  <si>
    <t xml:space="preserve">https://bc-robotics.com/shop/inline-ato-atc-fuse-holder-18awg/</t>
  </si>
  <si>
    <t xml:space="preserve">fx</t>
  </si>
  <si>
    <t xml:space="preserve">USD to CAD exchange rate (CAD per 1 USD)</t>
  </si>
  <si>
    <t xml:space="preserve">Pound Sterling Live (market close)</t>
  </si>
  <si>
    <t xml:space="preserve">Close on Fri 2026-10-23, the latest available on 2026-10-26 (day mid 1.3994). Used for every USD conversion in this file.</t>
  </si>
  <si>
    <t xml:space="preserve">https://www.poundsterlinglive.com/history/USD-CAD-2026</t>
  </si>
  <si>
    <t xml:space="preserve">hcsr04</t>
  </si>
  <si>
    <t xml:space="preserve">HC-SR04 sensor</t>
  </si>
  <si>
    <t xml:space="preserve">HC-SR04 Ultrasonic Sensor (JSumo, RB-Jsu-85)</t>
  </si>
  <si>
    <t xml:space="preserve">RobotShop CA</t>
  </si>
  <si>
    <t xml:space="preserve">In stock. Canada Robotix #1072 C$5.09.</t>
  </si>
  <si>
    <t xml:space="preserve">https://ca.robotshop.com/products/hc-sr04-ultrasonic-sensor</t>
  </si>
  <si>
    <t xml:space="preserve">heatshrink</t>
  </si>
  <si>
    <t xml:space="preserve">Heat-shrink kit</t>
  </si>
  <si>
    <t xml:space="preserve">ServoCity heat-shrink tubing assortment, 560 pcs in case</t>
  </si>
  <si>
    <t xml:space="preserve">Shared A/R/H. Page doesn't list the individual diameters/colours.</t>
  </si>
  <si>
    <t xml:space="preserve">https://ca.robotshop.com/products/servocity-heat-shrink-tubing-560pc-assortment-pack</t>
  </si>
  <si>
    <t xml:space="preserve">holder18650</t>
  </si>
  <si>
    <t xml:space="preserve">2 × 18650 holder</t>
  </si>
  <si>
    <t xml:space="preserve">2 x 18650 Battery Holder, series 7.4 V, 6 in leads (BTC-033)</t>
  </si>
  <si>
    <t xml:space="preserve">In stock. Fit for protected cells (68.8-69 mm) is NOT stated; the holder body is 76.3 mm long. Alternatives: Canada Robotix #2914 C$2.99 (series); RobotShop CA SparkFun 2x18650 with wire leads C$2.79 (RB-Spa-2511).</t>
  </si>
  <si>
    <t xml:space="preserve">https://bc-robotics.com/shop/2-x-18650-battery-holder/</t>
  </si>
  <si>
    <t xml:space="preserve">hub1996</t>
  </si>
  <si>
    <t xml:space="preserve">Pololu #1996 hub (2-pack)</t>
  </si>
  <si>
    <t xml:space="preserve">Universal Aluminum Mounting Hub (3mm Shaft, M3 Holes, 2-Pack) (SKU 1322)</t>
  </si>
  <si>
    <t xml:space="preserve">Title matches Pololu #1996 (listing vendor shows 'Other'). In stock. Pololu direct is US$9.95 per 2-pack (= C$13.92).</t>
  </si>
  <si>
    <t xml:space="preserve">https://www.canadarobotix.com/products/1322</t>
  </si>
  <si>
    <t xml:space="preserve">inserts</t>
  </si>
  <si>
    <t xml:space="preserve">M3 heat-set inserts</t>
  </si>
  <si>
    <t xml:space="preserve">M3 knurled brass heat-set insert, per piece (4.2 OD x 5 mm; also 5x4 and 5x5 variants)</t>
  </si>
  <si>
    <t xml:space="preserve">Spool3D</t>
  </si>
  <si>
    <t xml:space="preserve">Need 4 (R) = $0.60. Same price shown for all variants; 10% off at 10+. Stock field blank. Shorter than the M3x5.7 class (closest is 4.2 x 5 mm). Alt: RobotShop 3D Printing Canada M3x5 heat-set insert 10-pack $5.95.</t>
  </si>
  <si>
    <t xml:space="preserve">https://spool3d.ca/m3-knurled-brass-threaded-insert/</t>
  </si>
  <si>
    <t xml:space="preserve">jumpers.ff</t>
  </si>
  <si>
    <t xml:space="preserve">Jumpers F-F</t>
  </si>
  <si>
    <t xml:space="preserve">ServoCity jumper wire F-F, 20 cm, multicolour, 40-pack</t>
  </si>
  <si>
    <t xml:space="preserve">jumpers part 3 of 3.</t>
  </si>
  <si>
    <t xml:space="preserve">https://ca.robotshop.com/products/servocity-female-to-female-jumper-wire-multicolor-20cm-length-40-pack</t>
  </si>
  <si>
    <t xml:space="preserve">jumpers.mf</t>
  </si>
  <si>
    <t xml:space="preserve">Jumpers M-F</t>
  </si>
  <si>
    <t xml:space="preserve">ServoCity jumper wire M-F, 20 cm, multicolour, 40-pack</t>
  </si>
  <si>
    <t xml:space="preserve">jumpers part 2 of 3.</t>
  </si>
  <si>
    <t xml:space="preserve">https://ca.robotshop.com/products/servocity-male-to-female-jumper-wire-multicolor-20cm-length-40-pack</t>
  </si>
  <si>
    <t xml:space="preserve">jumpers.mm</t>
  </si>
  <si>
    <t xml:space="preserve">Jumpers M-M</t>
  </si>
  <si>
    <t xml:space="preserve">ServoCity jumper wire M-M, 20 cm, multicolour, 40-pack</t>
  </si>
  <si>
    <t xml:space="preserve">jumpers part 1 of 3: M-M + M-F + F-F 40-packs = 120 wires, $17.10 total. Canada Robotix 40-pin 20 cm ribbons are $6.99 each.</t>
  </si>
  <si>
    <t xml:space="preserve">https://ca.robotshop.com/products/servocity-male-to-male-jumper-wire-multicolor-20cm-length-40-pack</t>
  </si>
  <si>
    <t xml:space="preserve">lipo2s</t>
  </si>
  <si>
    <t xml:space="preserve">2S LiPo ≈1000 mAh</t>
  </si>
  <si>
    <t xml:space="preserve">GNB Long Range 1100mAh 2S HV 60C LiPo, XT30</t>
  </si>
  <si>
    <t xml:space="preserve">Rotor Village</t>
  </si>
  <si>
    <t xml:space="preserve">medium</t>
  </si>
  <si>
    <t xml:space="preserve">Closest in-stock match at a Canadian FPV shop; no 1000mAh 2S XT30 pack was found. Price from the 2S category listing (https://rotorvillage.ca/2-cell-2s-7-4v/), which the site displayed in USD (CAD price not shown); the product page could not be opened. LiHV pack (8.7 V full): charge in LiHV mode, or as standard LiPo for slightly less capacity. Other in-stock option: GNB 880mAh 2S HV 160C XT30 US$10.70. RobotShop CA and Canada Robotix carry no 2S XT30 LiPo.</t>
  </si>
  <si>
    <t xml:space="preserve">https://rotorvillage.ca/gnb-long-range-1100mah-2s-hv-60c-lipo-xt30/</t>
  </si>
  <si>
    <t xml:space="preserve">lipoalarm</t>
  </si>
  <si>
    <t xml:space="preserve">LiPo alarm</t>
  </si>
  <si>
    <t xml:space="preserve">LiPo Voltmeter &amp; Buzzer, 1S-8S</t>
  </si>
  <si>
    <t xml:space="preserve">4 in stock. Page displayed USD; converted. Adjustable alarm threshold not stated.</t>
  </si>
  <si>
    <t xml:space="preserve">https://rotorvillage.ca/lipo-voltmeter-buzzer-1s-to-8s/</t>
  </si>
  <si>
    <t xml:space="preserve">lipobag</t>
  </si>
  <si>
    <t xml:space="preserve">LiPo bag</t>
  </si>
  <si>
    <t xml:space="preserve">RVS LiPo Storage Bag V2, 220 x 170 x 110 mm, fire-resistant fabric</t>
  </si>
  <si>
    <t xml:space="preserve">16 in stock. Page displayed USD (site currency setting); converted at the FX rate. RobotShop CA Lynxmotion LiPo small storage bag 180 x 230 mm C$17.14 (RB-Gog-26).</t>
  </si>
  <si>
    <t xml:space="preserve">https://rotorvillage.ca/rvs-lipo-storage-bag/</t>
  </si>
  <si>
    <t xml:space="preserve">lipocharger</t>
  </si>
  <si>
    <t xml:space="preserve">2S LiPo balance charger</t>
  </si>
  <si>
    <t xml:space="preserve">B3AC LiPo Balance Charger 18W, 2S/3S, AC input (HTRC/Huituo, RB-Hui-06)</t>
  </si>
  <si>
    <t xml:space="preserve">In stock; built-in 100-240 VAC plug; 700 mA per cell; charges through the balance lead. Standard LiPo only (no LiHV mode). Upgrade: ToolkitRC M4AC 1-4S AC charger (has LiHV mode) at Rotor Village, $49.99 shown as CAD (5 in stock).</t>
  </si>
  <si>
    <t xml:space="preserve">https://ca.robotshop.com/products/b3ac-lipo-battery-charger-18w-us</t>
  </si>
  <si>
    <t xml:space="preserve">m17</t>
  </si>
  <si>
    <t xml:space="preserve">M1.7 × 5 horn screws</t>
  </si>
  <si>
    <t xml:space="preserve">750 Pcs Self Tapping Screws For Plastic And Metal M1.7 To M3 Phillips Pan Head Tiny Black Carbon Steel Micro Electronic Screws Assortment Kit Great For DIY Projects And Repairs</t>
  </si>
  <si>
    <t xml:space="preserve">Bearings Canada (Woodbridge ON)</t>
  </si>
  <si>
    <t xml:space="preserve">M1.7 × 5 self-tapping servo horn screws, pack of 100 (Amazon.ca / AliExpress (typical))</t>
  </si>
  <si>
    <t xml:space="preserve">Checked 2026-10-26. Sale price (list 76.14 CAD). Kit contains M1.7 x 5/6/8, M2 x 4/5/6, M2.3, M2.6 and M3, 50 of each; black carbon steel, Phillips pan head. Only 50 of the M1.7x5. No Canadian page found for a ~100-pack of M1.7x5 alone. Abra Electronics H-KIT-M1-ST (M1-M1.7 kit) page shows no price or quantities. Stock and shipping to NB not stated on the page.</t>
  </si>
  <si>
    <t xml:space="preserve">https://bearingscanada.com/products/750-pcs-self-tapping-screws-for-plastic-and-metal</t>
  </si>
  <si>
    <t xml:space="preserve">m25tap</t>
  </si>
  <si>
    <t xml:space="preserve">M2.5 × 6 self-tapping</t>
  </si>
  <si>
    <t xml:space="preserve">Phillips pan-head screw M2.5 x 6 mm, zinc-plated steel, 10-pack</t>
  </si>
  <si>
    <t xml:space="preserve">Need 8 (H): one pack. Page does not say self-tapping (probably machine thread), so may not suit plain plastic holes. In stock (24).</t>
  </si>
  <si>
    <t xml:space="preserve">https://www.canadarobotix.com/products/843</t>
  </si>
  <si>
    <t xml:space="preserve">m2kit</t>
  </si>
  <si>
    <t xml:space="preserve">M2 screws + nuts</t>
  </si>
  <si>
    <t xml:space="preserve">M2 screw set: 20 x M2 x 10 mm Phillips machine screws + 20 M2 hex nuts</t>
  </si>
  <si>
    <t xml:space="preserve">Need ~40 screws, 12 nuts, 36 washers (A, H): 2 sets ($5.90) give 40 screws + 40 nuts. Only one length (10 mm; spec 6-16 mm). Washers NOT included and not priced (BC lists an 'M2 Washer Set - 40 pcs' accessory). In stock. No readable M2 assortment with washers found. Alt: Canada Robotix M2x10 / M2x6 10-packs $1.49 and M2 nut 10-pack $1.49.</t>
  </si>
  <si>
    <t xml:space="preserve">https://bc-robotics.com/shop/m2-screw-set-40-pcs/</t>
  </si>
  <si>
    <t xml:space="preserve">m2nyloc</t>
  </si>
  <si>
    <t xml:space="preserve">M2 Nyloc nut</t>
  </si>
  <si>
    <t xml:space="preserve">M2 nylon-insert hex nut, stainless, per piece</t>
  </si>
  <si>
    <t xml:space="preserve">Need 12 (H) = $4.20 (bulk discounts may apply). OUT OF STOCK when checked. RobotShop only has M2 plain hex nuts and M2.5 nyloc.</t>
  </si>
  <si>
    <t xml:space="preserve">https://spool3d.ca/m2-nylon-hex-nut-stainless-steel/</t>
  </si>
  <si>
    <t xml:space="preserve">m2washer</t>
  </si>
  <si>
    <t xml:space="preserve">M2 washers</t>
  </si>
  <si>
    <t xml:space="preserve">3D Printing Canada Stainless Steel Metric Flat Washers M2 (10 Pack)</t>
  </si>
  <si>
    <t xml:space="preserve">M2 flat washers, pack of 100 (Hardware store / Amazon.ca (typical))</t>
  </si>
  <si>
    <t xml:space="preserve">Checked 2026-10-26. Price from the page's og:price metadata (0.95 CAD); no visible price in the fetched text. 304 stainless; page says 1 mm thick; OD not stated. Pack of 10, not 100: buy 10 packs for 100 (~9.50 CAD). Stock not shown.</t>
  </si>
  <si>
    <t xml:space="preserve">https://ca.robotshop.com/products/3d-printing-canada-usa-3d-printing-canada-stainless-steel-metric-flat-washers-m2-10-pack</t>
  </si>
  <si>
    <t xml:space="preserve">m3ft40</t>
  </si>
  <si>
    <t xml:space="preserve">M3 × 40 fully threaded 12.9</t>
  </si>
  <si>
    <t xml:space="preserve">M3 × 40 socket head, class 12.9 alloy, fully threaded, pack of 10</t>
  </si>
  <si>
    <t xml:space="preserve">Amazon.ca (typical)</t>
  </si>
  <si>
    <t xml:space="preserve">Estimate</t>
  </si>
  <si>
    <t xml:space="preserve">https://www.amazon.ca/</t>
  </si>
  <si>
    <t xml:space="preserve">m3ft50</t>
  </si>
  <si>
    <t xml:space="preserve">M3 × 50 fully threaded 12.9</t>
  </si>
  <si>
    <t xml:space="preserve">M3 × 50 socket head, class 12.9 alloy, fully threaded, pack of 10</t>
  </si>
  <si>
    <t xml:space="preserve">Estimate: a fully threaded 12.9 listing exists on Amazon.ca (Sutemribor, 55 pcs) but its price could not be read</t>
  </si>
  <si>
    <t xml:space="preserve">m3nut</t>
  </si>
  <si>
    <t xml:space="preserve">M3 hex nuts</t>
  </si>
  <si>
    <t xml:space="preserve">M3 Hex Nut - Alloy Steel (page title: M3 Hex Nut - DIN934 - Alloy Steel)</t>
  </si>
  <si>
    <t xml:space="preserve">Spool3D (Canada)</t>
  </si>
  <si>
    <t xml:space="preserve">M3 hex nuts DIN 934, pack of 50 (Hardware store / Amazon.ca (typical))</t>
  </si>
  <si>
    <t xml:space="preserve">Checked 2026-10-26. Sold singly. DIN 934 stated. Bulk discount: 10% off for 10-40, 20% off for 41-100, so 50 nuts = 50 x 0.24 = 12.00 CAD. 1,512 in stock. Cheaper but DIN not stated: 3D Printing Canada Stainless Steel Metric Thread Hex Nuts (10 Pack), M3 variant, 0.95 CAD per 10 (price from metadata), https://3dprintingcanada.com/products/stainless-steel-metric-thread-hex-nuts-10-packs</t>
  </si>
  <si>
    <t xml:space="preserve">https://spool3d.ca/m3-hex-nut-alloy-steel/</t>
  </si>
  <si>
    <t xml:space="preserve">m3nyloc</t>
  </si>
  <si>
    <t xml:space="preserve">M3 nyloc nuts</t>
  </si>
  <si>
    <t xml:space="preserve">3D Printing Canada stainless M3 nyloc hex nuts, 10-pack</t>
  </si>
  <si>
    <t xml:space="preserve">Need 6 (R): one pack. 304 stainless. Alt: Spool3D $0.40 each; BC Robotics M3 lock nut 20-pack $1.95.</t>
  </si>
  <si>
    <t xml:space="preserve">https://ca.robotshop.com/products/3d-printing-canada-usa-3d-printing-canada-stainless-steel-metric-thread-nyloc-hex-nuts-m3-10-pack</t>
  </si>
  <si>
    <t xml:space="preserve">m3set20</t>
  </si>
  <si>
    <t xml:space="preserve">M3 × 20 set screw</t>
  </si>
  <si>
    <t xml:space="preserve">M3 socket flat-point grub screw, stainless, per piece</t>
  </si>
  <si>
    <t xml:space="preserve">Need 2 (R) = $0.30. Price from Spool3D's M3 category page; the product page couldn't be opened (permission not granted), so the 20 mm length and DIN 913 are NOT confirmed. Stainless, not 45H steel. Accu lists M3 flat-point (DIN 913) A2 grub screws but its prices aren't readable.</t>
  </si>
  <si>
    <t xml:space="preserve">https://spool3d.ca/m3-socket-flat-point-grub-screw-stainless-steel/</t>
  </si>
  <si>
    <t xml:space="preserve">m3shcs</t>
  </si>
  <si>
    <t xml:space="preserve">M3 socket head kit</t>
  </si>
  <si>
    <t xml:space="preserve">M3 socket head cap screw kit, stainless, 240 pcs</t>
  </si>
  <si>
    <t xml:space="preserve">Kit: M3 x 4, 5, 6, 8, 10, 12, 16, 20, 25 mm (20 each) + 60 M3 hex nuts; NO washers (see m3washer). Page shows $19.00-$24.00 for the 180-pc and 240-pc options without mapping them; $24.00 assumed for 240-pc. The 180-pc kit (5/6/8/10/12/16 mm, no nuts) also covers the screw need (3 x M3x16, 8 x M3x12, 4 x M3x8). Stock not shown. Cheaper partial: RobotShop 3D Printing Canada stainless 10-packs M3x8 $0.95, M3x16 $0.95, M3x20 $1.95, but no M3x12 found.</t>
  </si>
  <si>
    <t xml:space="preserve">https://spool3d.ca/m3-socket-head-cap-screw-kit-stainless-steel/</t>
  </si>
  <si>
    <t xml:space="preserve">m3washer.din9021</t>
  </si>
  <si>
    <t xml:space="preserve">M3 penny washers Ø9</t>
  </si>
  <si>
    <t xml:space="preserve">Stainless Steel Metric Flat Washers (10 Pack) M3 Oversized</t>
  </si>
  <si>
    <t xml:space="preserve">Checked 2026-10-26. Price from the page's og:price metadata (0.95 CAD). 304 stainless, 'oversized' M3. OD and thickness are not stated, so DIN 9021 (9 x 0.8 mm) is not confirmed. Pack of 10: buy 5 for 50. No Canadian page found that states DIN 9021 M3.</t>
  </si>
  <si>
    <t xml:space="preserve">https://ca.robotshop.com/products/3d-printing-canada-usa-stainless-steel-metric-flat-washers-10-pack-m3-oversized</t>
  </si>
  <si>
    <t xml:space="preserve">m3washer.iso7089</t>
  </si>
  <si>
    <t xml:space="preserve">M3 washers Ø7</t>
  </si>
  <si>
    <t xml:space="preserve">M3 washer set, 40 pcs</t>
  </si>
  <si>
    <t xml:space="preserve">m3washer part 1 of 2. Need 29 (A3 + R26): one pack. Price from BC Robotics' M3 tag listing; product page not opened, so OD/thickness (ISO 7089: 3.2 x 7 x 0.5 mm) unverified. Alt: RobotShop 3D Printing Canada M3 flat washers 10-pack $0.95 (stated 1 mm thick, OD not stated) x 3 = $2.85; Spool3D $0.25 each.</t>
  </si>
  <si>
    <t xml:space="preserve">https://bc-robotics.com/shop/m3-washer-set-40-pcs/</t>
  </si>
  <si>
    <t xml:space="preserve">mg90s</t>
  </si>
  <si>
    <t xml:space="preserve">MG90S micro servo</t>
  </si>
  <si>
    <t xml:space="preserve">Micro Servo - MG90S (ROB-009), metal gear, incl. accessory pack (horns + screws)</t>
  </si>
  <si>
    <t xml:space="preserve">Waveshare MG90S Micro Servo, Metal Gear (SKU 15024), bought direct (Waveshare)</t>
  </si>
  <si>
    <t xml:space="preserve">Need 20 -&gt; 20 x 6.00 = C$120.00. Sale price (was 7.95); in stock; no reviews. No multipack found at a readable Canadian store: PiShop.ca Waveshare MG90S C$4.95 ea is out of stock; Canada Robotix and RobotShop CA list no MG90S. Amazon.ca 10-packs exist (e.g. VIPMOON B07T481PP9, Longruner B01N6C66ZG, Vffoto B0CC2HKGZN) and are probably cheaper per servo. Amazon.ca blocks automated page reads, so no Amazon.ca prices could be checked.</t>
  </si>
  <si>
    <t xml:space="preserve">https://bc-robotics.com/shop/micro-servo-high-torque-metal-gear/</t>
  </si>
  <si>
    <t xml:space="preserve">https://www.waveshare.com/mg90s-servo.htm</t>
  </si>
  <si>
    <t xml:space="preserve">mg996r</t>
  </si>
  <si>
    <t xml:space="preserve">MG996R servo</t>
  </si>
  <si>
    <t xml:space="preserve">MG996R High Torque Servo (metal gear), incl. one accessory set (horns + screws)</t>
  </si>
  <si>
    <t xml:space="preserve">PiShop.ca</t>
  </si>
  <si>
    <t xml:space="preserve">Waveshare MG996R Servo, Metal Gear (SKU 15299), bought direct (Waveshare)</t>
  </si>
  <si>
    <t xml:space="preserve">FX FOR ALL USD ROWS: 1 USD = 1.3993 CAD (Bank of Canada daily rate for 2026-10-23, the latest published on 2026-10-26; market close 23 Oct was 1.4004). Need 3 -&gt; 3 x 8.95 = C$26.85. In stock; no reviews on page. Cheaper: RobotShop CA Waveshare MG996R C$7.13 ea (RB-Wav-1317, in stock), but its package list shows the servo only (horns not confirmed). Canada Robotix #3054 C$11.99 incl. arms+screws but backordered 2-4 wk. Amazon.ca 4-packs exist (e.g. Deegoo-FPV B07MFK266B, Hosyond B0BYD9M1P3). Amazon.ca blocks automated page reads, so no Amazon.ca prices could be checked.</t>
  </si>
  <si>
    <t xml:space="preserve">https://www.pishop.ca/product/mg996r-high-torque-servo/</t>
  </si>
  <si>
    <t xml:space="preserve">https://www.waveshare.com/product/modules/motors-servos/mg996r-servo.htm</t>
  </si>
  <si>
    <t xml:space="preserve">mp1584</t>
  </si>
  <si>
    <t xml:space="preserve">MP1584 buck</t>
  </si>
  <si>
    <t xml:space="preserve">MP1584EN 3A adjustable DC-DC buck board, 5 pcs</t>
  </si>
  <si>
    <t xml:space="preserve">AliExpress (budget)</t>
  </si>
  <si>
    <t xml:space="preserve">Only an AliExpress listing was found (no Canadian stock seen)</t>
  </si>
  <si>
    <t xml:space="preserve">https://www.aliexpress.com/w/wholesale-mp1584.html</t>
  </si>
  <si>
    <t xml:space="preserve">n20</t>
  </si>
  <si>
    <t xml:space="preserve">N20 gearmotor 6 V ≈150:1</t>
  </si>
  <si>
    <t xml:space="preserve">N20 Micro Metal Gear Motor 6V 100RPM, 3 mm D-shaft (SKU 2835)</t>
  </si>
  <si>
    <t xml:space="preserve">Generic GA12-N20 option; need 2 -&gt; C$15.98. In stock; stall 210 mA at 6 V; gear ratio and shaft length not stated. Pololu option: the 150:1 LP 6V is Pololu #1097 (not #2380); the MP 6V is #2368. Both are C$34.21 ea at RobotShop CA (RB-Pol-1105 / RB-Pol-1196), or US$23.95 (= C$33.51) direct from Pololu. BC Robotics generic N20 6V 100RPM is C$8.95 (3 mm D, 9 mm shaft).</t>
  </si>
  <si>
    <t xml:space="preserve">https://www.canadarobotix.com/products/2835</t>
  </si>
  <si>
    <t xml:space="preserve">pca9685</t>
  </si>
  <si>
    <t xml:space="preserve">PCA9685 servo driver</t>
  </si>
  <si>
    <t xml:space="preserve">16-Channel 12-bit PWM Servo Driver PCA9685 (SKU 26299), headers pre-assembled</t>
  </si>
  <si>
    <t xml:space="preserve">Need 2 -&gt; C$13.90. Only 4 left (backorder allowed). Adafruit-style clone. Alternatives: Canada Robotix generic PCA9685 #2079 C$12.69 (in stock); Adafruit 815 at Canada Robotix C$20.49; RobotShop CA SunFounder PCA9685 C$17.13.</t>
  </si>
  <si>
    <t xml:space="preserve">https://www.universal-solder.ca/product/16-channel-12-bit-pwm-servo-driver-i2c/</t>
  </si>
  <si>
    <t xml:space="preserve">petg.generic</t>
  </si>
  <si>
    <t xml:space="preserve">PETG 1 kg (Sunlu)</t>
  </si>
  <si>
    <t xml:space="preserve">Sunlu PETG 1.75 mm, 1 kg (price shown "and up")</t>
  </si>
  <si>
    <t xml:space="preserve">Seen on the category page, 26 Oct 2026; colour options may cost more</t>
  </si>
  <si>
    <t xml:space="preserve">https://www.canadacomputers.com/en/1207/filaments</t>
  </si>
  <si>
    <t xml:space="preserve">petg.prusament</t>
  </si>
  <si>
    <t xml:space="preserve">PETG 1 kg (Prusament)</t>
  </si>
  <si>
    <t xml:space="preserve">Prusament PETG 1.75 mm, 1 kg (Prusa Orange / Jet Black)</t>
  </si>
  <si>
    <t xml:space="preserve">Prusa Research (prusa3d.com)</t>
  </si>
  <si>
    <t xml:space="preserve">Alternative to petg.generic (do not sum). Sale price (-21%); regular US$29.99 (~CA$42.00). The shop served 'Ship to United States - USD' pricing; Canada-region pricing couldn't be selected and may differ. Need A ~0.33 + R ~0.31 + H ~0.40 = ~1.04 kg (just over one spool).</t>
  </si>
  <si>
    <t xml:space="preserve">https://www.prusa3d.com/category/prusament-petg/</t>
  </si>
  <si>
    <t xml:space="preserve">powerbus</t>
  </si>
  <si>
    <t xml:space="preserve">WAGO lever connectors + wire</t>
  </si>
  <si>
    <t xml:space="preserve">5 x WAGO 221 3-conductor lever connector (24-12 AWG) + 3 m red + 3 m black 18AWG silicone wire</t>
  </si>
  <si>
    <t xml:space="preserve">Lee's Electronic + RobotShop CA</t>
  </si>
  <si>
    <t xml:space="preserve">WAGO 221 3-pos C$2.50 each x 5 = C$12.50 (Lee's, 6 in stock; part no. not shown, matches 221-413). Wire: Lynxmotion 18AWG silicone 3 m red RB-Gog-57 + 3 m black RB-Gog-51 at C$2.83 each = C$5.66 (RobotShop CA). Cheaper bus option: 2 x WAGO 221 5-pos (20-10 AWG) at Lee's C$4.25 each = C$8.50 instead of five 3-pos. Home Depot.ca WAGO 10-packs exist but no price was shown.</t>
  </si>
  <si>
    <t xml:space="preserve">https://leeselectronic.com/en/product/184500-wago-terminal-block-3-pos-24-12awg-221-series.html</t>
  </si>
  <si>
    <t xml:space="preserve">psu6v5a</t>
  </si>
  <si>
    <t xml:space="preserve">6 V 5 A adapter</t>
  </si>
  <si>
    <t xml:space="preserve">Lynxmotion Power Supply 6VDC 5A, 100-240VAC input (RB-Hap-01)</t>
  </si>
  <si>
    <t xml:space="preserve">5.5 x 2.1 mm barrel, centre positive, North American plug, CE/FCC. In stock.</t>
  </si>
  <si>
    <t xml:space="preserve">https://ca.robotshop.com/products/power-supply-output-6vdc-5a-input-100-240vac</t>
  </si>
  <si>
    <t xml:space="preserve">ptfe</t>
  </si>
  <si>
    <t xml:space="preserve">PTFE tape</t>
  </si>
  <si>
    <t xml:space="preserve">PTFE thread seal tape 1/2 in x 40 ft</t>
  </si>
  <si>
    <t xml:space="preserve">Need 1 (A). Available to ship or pick up.</t>
  </si>
  <si>
    <t xml:space="preserve">https://www.princessauto.com/en/product/PA0008659666</t>
  </si>
  <si>
    <t xml:space="preserve">reskit.33k</t>
  </si>
  <si>
    <t xml:space="preserve">33 kΩ resistors</t>
  </si>
  <si>
    <t xml:space="preserve">1/4 W resistor 10-pack, 33 kohm variant</t>
  </si>
  <si>
    <t xml:space="preserve">reskit part 2 of 2. One $1.00 listing with 85 E12 variants (1 ohm-10 Mohm) incl. 33k; page says 'Low Stock'.</t>
  </si>
  <si>
    <t xml:space="preserve">https://bc-robotics.com/shop/14-watt-resistor/</t>
  </si>
  <si>
    <t xml:space="preserve">reskit.kit</t>
  </si>
  <si>
    <t xml:space="preserve">Resistor kit</t>
  </si>
  <si>
    <t xml:space="preserve">Assorted resistor kit KIT-056, 600 pcs 1/4 W, 30 values x 20</t>
  </si>
  <si>
    <t xml:space="preserve">reskit part 1 of 2. Values: 10/22/47/100/150/200/220/270/330/470/510/680 ohm; 1k/2k/2.2k/3.3k/4.7k/5.1k/6.8k/10k/20k/47k/51k/68k/100k/220k/300k/470k/680k; 1M. Has 1k, 2k, 10k, 100k but NOT 33k (add reskit.33k). In stock. No readable Canadian kit had both 2k and 33k (30-value kits lack 33k; E12 kits lack 2k). Alts: RobotShop Resistor Kit 610 pcs, E12 61 values (has 33k, no 2k) $20.53; or BC 10-packs of 1k/10k/33k/100k = $4.00 with 2k made from 2 x 1k in series.</t>
  </si>
  <si>
    <t xml:space="preserve">https://bc-robotics.com/shop/assorted-resistor-kit-600-pcs/</t>
  </si>
  <si>
    <t xml:space="preserve">rubberfeet</t>
  </si>
  <si>
    <t xml:space="preserve">Rubber feet</t>
  </si>
  <si>
    <t xml:space="preserve">Adhesive rubber feet, 4-pack (ACC-004)</t>
  </si>
  <si>
    <t xml:space="preserve">Need 4 (A): one pack. In stock. Size not stated. Alt: RobotShop silicone bumpers 5 x 11 mm, 4 pcs $1.07 (adhesive not stated).</t>
  </si>
  <si>
    <t xml:space="preserve">https://bc-robotics.com/shop/adhesive-rubber-feet/</t>
  </si>
  <si>
    <t xml:space="preserve">schottky</t>
  </si>
  <si>
    <t xml:space="preserve">Schottky diodes</t>
  </si>
  <si>
    <t xml:space="preserve">Schottky diode 1N5818, DO-41, 5 pcs</t>
  </si>
  <si>
    <t xml:space="preserve">Need 2 (R1 + H1): one pack. 1N5818 is the 30 V member of the 1N5817 family (drop-in). Backordered, 2-4 week lead time. RobotShop has no SS14/1N5817; Mouser's 1N5817 page errored.</t>
  </si>
  <si>
    <t xml:space="preserve">https://www.canadarobotix.com/products/980</t>
  </si>
  <si>
    <t xml:space="preserve">selftap</t>
  </si>
  <si>
    <t xml:space="preserve">Self-tapping screws</t>
  </si>
  <si>
    <t xml:space="preserve">Pointed-tip (self-tapping) Phillips screw #2 x 1/4 in, 10-pack (substitute)</t>
  </si>
  <si>
    <t xml:space="preserve">Substitute: no M2/M2.3/M2.6/M3 self-tapping assortment found at a readable Canadian retailer. #2 is ~2.2 mm; a #4 (~2.8 mm) x 1/4 in 10-pack is also $1.49. Both are only 6.35 mm long and backordered. Need ~48 (A12 + H36) -&gt; 5 packs ~ $7.45. Price from the collection page.</t>
  </si>
  <si>
    <t xml:space="preserve">https://www.canadarobotix.com/collections/other-hardware/products/2096</t>
  </si>
  <si>
    <t xml:space="preserve">servoext15</t>
  </si>
  <si>
    <t xml:space="preserve">Servo extension 15 cm</t>
  </si>
  <si>
    <t xml:space="preserve">Servo extension cable 150 mm, male-female, single</t>
  </si>
  <si>
    <t xml:space="preserve">Need 12 (H) = $10.32. Pack size not stated (assumed single). Lynxmotion SEA-01 6 in is $3.29 each.</t>
  </si>
  <si>
    <t xml:space="preserve">https://ca.robotshop.com/products/servo-extension-cable-150mm</t>
  </si>
  <si>
    <t xml:space="preserve">servoext30</t>
  </si>
  <si>
    <t xml:space="preserve">Servo extension 30 cm</t>
  </si>
  <si>
    <t xml:space="preserve">Lynxmotion SEA-02 servo extender cable 12 in (~30 cm), single</t>
  </si>
  <si>
    <t xml:space="preserve">Need 2 (A) = $6.12. F-F lead with pin header (M-F with pins in). Cheaper alt: BC Robotics 30 cm M-F extension $1.95 each.</t>
  </si>
  <si>
    <t xml:space="preserve">https://ca.robotshop.com/products/sea-02-servo-extender-cable-12</t>
  </si>
  <si>
    <t xml:space="preserve">servoext50</t>
  </si>
  <si>
    <t xml:space="preserve">Servo extension 60 cm</t>
  </si>
  <si>
    <t xml:space="preserve">Servo extension cable 600 mm, male-female, single</t>
  </si>
  <si>
    <t xml:space="preserve">Need 2 (A) = $2.72. No 50 cm lead at RobotShop; this is 10 cm longer than spec. Pack size not stated (assumed single). Lynxmotion SEA-03 24 in is $2.79.</t>
  </si>
  <si>
    <t xml:space="preserve">https://ca.robotshop.com/products/servo-extension-cable-600mm</t>
  </si>
  <si>
    <t xml:space="preserve">stripboard</t>
  </si>
  <si>
    <t xml:space="preserve">Stripboard + headers</t>
  </si>
  <si>
    <t xml:space="preserve">StripBoard-1, 80x50mm Solder Protoboard + 10 x Breakaway Male Pin Header 1×40 pins – 2.54mm pitch</t>
  </si>
  <si>
    <t xml:space="preserve">Solarbotics (Calgary AB) + Universal-Solder / CANADUINO</t>
  </si>
  <si>
    <t xml:space="preserve">Stripboard ≈ 50 × 70 mm + 40-pin male header strip (Electronics or hardware store (typical))</t>
  </si>
  <si>
    <t xml:space="preserve">Checked 2026-10-26. In stock. 80 x 50 mm per title; the spec text conflicts ('500 x 80mm', listed 13 x 8 x 0.18 cm). Check size before ordering. The ?p=88125 URL for the same product showed 3.25 USD; this product URL shows 4.59 CAD. Header strips: https://universal-solder.ca/product/header-male-1x40-2-54-break-away/</t>
  </si>
  <si>
    <t xml:space="preserve">https://solarbotics.com/product/20930/</t>
  </si>
  <si>
    <t xml:space="preserve">switch10a</t>
  </si>
  <si>
    <t xml:space="preserve">Switch ≥ 10 A</t>
  </si>
  <si>
    <t xml:space="preserve">Toggle Switch and Cover - Illuminated (Red), rated 20A at 12V (SKU 1130)</t>
  </si>
  <si>
    <t xml:space="preserve">BACKORDERED. Rated 20 A at 12 V (DC not stated explicitly; automotive style). Same store: Rocker Switch (3-Pin, SPDT, 10A) #0190 C$1.29, also backordered; its 10 A rating is probably AC.</t>
  </si>
  <si>
    <t xml:space="preserve">https://www.canadarobotix.com/products/1130</t>
  </si>
  <si>
    <t xml:space="preserve">tb6612</t>
  </si>
  <si>
    <t xml:space="preserve">TB6612FNG driver</t>
  </si>
  <si>
    <t xml:space="preserve">Pololu TB6612FNG Dual Motor Driver Carrier (#713, RB-Pol-110)</t>
  </si>
  <si>
    <t xml:space="preserve">In stock. Header pins included but not soldered. Pololu direct US$4.95 (= C$6.93). SparkFun TB6612FNG at Canada Robotix C$20.29.</t>
  </si>
  <si>
    <t xml:space="preserve">https://ca.robotshop.com/products/pololu-dual-dc-motor-driver-1a-4-5v-3-5v-tb6612fng</t>
  </si>
  <si>
    <t xml:space="preserve">thumbscrew</t>
  </si>
  <si>
    <t xml:space="preserve">1/4"-20 thumb screw</t>
  </si>
  <si>
    <t xml:space="preserve">MORTON 1/4-20X5/16IN KNURLED THUMB SCREW</t>
  </si>
  <si>
    <t xml:space="preserve">KBC Tools &amp; Machinery (Mississauga ON)</t>
  </si>
  <si>
    <t xml:space="preserve">1/4"-20 × 5/16" knurled thumb screw (Camera or hardware store (typical))</t>
  </si>
  <si>
    <t xml:space="preserve">Checked 2026-10-26. Price 7.94 per each (UOM EA). Currency not labelled; assumed CAD because this is the Canadian site. 1 in head diameter, straight knurl, one-piece; material not stated. 'Shipping Soon'; shipping terms not on the page.</t>
  </si>
  <si>
    <t xml:space="preserve">https://kbctools.ca/itemdetail/1-905-KK2531</t>
  </si>
  <si>
    <t xml:space="preserve">tiemount</t>
  </si>
  <si>
    <t xml:space="preserve">Cable-tie mounts</t>
  </si>
  <si>
    <t xml:space="preserve">Adhesive Cable Tie Mount 1 X Black Self Stick Organizer Base Pack Of 100 FN-CT-M100-BK</t>
  </si>
  <si>
    <t xml:space="preserve">Fleet Network (Canada)</t>
  </si>
  <si>
    <t xml:space="preserve">Checked 2026-10-26. 1 in x 1 in mounts, pack of 100 (MSRP 9.20). Page says 'Stock in Canada - Purolator or UPS' (QC/ON/AB/BC warehouses); stock figures on the page conflict (9985 vs 0). RobotShop CA only has single AndyMark mounts (0.21 each, on-demand order).</t>
  </si>
  <si>
    <t xml:space="preserve">https://fleetnetwork.ca/products/adhesive-cable-tie-mount-1x-1-black-pack-of-100.html</t>
  </si>
  <si>
    <t xml:space="preserve">toggle</t>
  </si>
  <si>
    <t xml:space="preserve">Mini toggle switch</t>
  </si>
  <si>
    <t xml:space="preserve">Toggle Switch (3-Pin, SPDT, 5A) (SKU 0949)</t>
  </si>
  <si>
    <t xml:space="preserve">In stock. 5 A 125 VAC / 2 A 250 VAC SPDT. The listing does not say MTS-102 or give the bushing size, so check it is the 6 mm mini type. Need 1, so sold singly.</t>
  </si>
  <si>
    <t xml:space="preserve">https://www.canadarobotix.com/products/949</t>
  </si>
  <si>
    <t xml:space="preserve">tvs</t>
  </si>
  <si>
    <t xml:space="preserve">TVS diode</t>
  </si>
  <si>
    <t xml:space="preserve">Littelfuse SMBJ6.5A TVS diode, 600 W, 6.5 V unidirectional, cut tape</t>
  </si>
  <si>
    <t xml:space="preserve">Mouser (Canada)</t>
  </si>
  <si>
    <t xml:space="preserve">Optional, need 1 (A). Digi-Key Canada page loads without prices (rendered by script), so Mouser.ca used. 13,359 in stock; qty-10 price $0.323 each.</t>
  </si>
  <si>
    <t xml:space="preserve">https://www.mouser.ca/ProductDetail/Littelfuse/SMBJ65A?qs=HR2RnyOI4E54mNEmZE5SaA%3D%3D</t>
  </si>
  <si>
    <t xml:space="preserve">ubec</t>
  </si>
  <si>
    <t xml:space="preserve">UBEC 6 V ≥ 5 A</t>
  </si>
  <si>
    <t xml:space="preserve">Hobbywing UBEC 10A (2-6S), 6.0/7.4/8.4 V selectable, 10 A cont / 15 A burst</t>
  </si>
  <si>
    <t xml:space="preserve">Hobbywing North America (hobbywingdirect.com)</t>
  </si>
  <si>
    <t xml:space="preserve">Sale price (reg. US$35.00). Official US-based store; its country selector lists Canada/CAD, but Canada shipping is not confirmed. With 2S input there is little headroom above 6 V near the end of discharge. Cheaper option meeting the 5 A minimum: Hobbywing UBEC 5A AIR (2-8S, 5/6/7.4 V) US$13.99 (= C$19.58). No 6 V UBEC found at the Canadian shops read: the Rotor Village Hobbywing BEC is 5 V only, and the RobotShop CA ServoCity BEC-5-25 (C$42.84) defaults to 5.1 V and needs a Castle Link to set 6 V.</t>
  </si>
  <si>
    <t xml:space="preserve">https://www.hobbywingdirect.com/products/ubec-10a</t>
  </si>
  <si>
    <t xml:space="preserve">usbc</t>
  </si>
  <si>
    <t xml:space="preserve">USB-C to USB-A cable 2 m</t>
  </si>
  <si>
    <t xml:space="preserve">Reversible USB-A to USB-C cable, 2 m (thin, flexible)</t>
  </si>
  <si>
    <t xml:space="preserve">Straight connectors: no right-angle USB-C to A 2 m found at a readable Canadian retailer. Page says it is thinner and more flexible than the USB 3.1 version. Cheaper alt: Canada Robotix USB 3.0 A-to-C 2 m $9.99 (in stock; likely stiffer).</t>
  </si>
  <si>
    <t xml:space="preserve">https://ca.robotshop.com/products/reversible-usb-a-to-usb-c-cable-2m</t>
  </si>
  <si>
    <t xml:space="preserve">usbra</t>
  </si>
  <si>
    <t xml:space="preserve">Right-angle USB cable (ESP32)</t>
  </si>
  <si>
    <t xml:space="preserve">StarTech Micro-USB Cable with Right-Angled Connectors, M/M, 1m (3ft)</t>
  </si>
  <si>
    <t xml:space="preserve">Staples Canada</t>
  </si>
  <si>
    <t xml:space="preserve">Right-angle micro-USB or USB-C cable, 1 m (Electronics or hardware store (typical))</t>
  </si>
  <si>
    <t xml:space="preserve">Checked 2026-10-26. USB-A to Micro-B, both ends right-angled, 1 m, USB 2.0 (StarTech USB2AUB2RA1M). Currency not labelled; Staples.ca is for Canadian residents. Stock not stated. Preferred-list option is longer: Canada Computers StarTech 6 ft Micro USB Cable A to Right Angle Micro B (UUSBHAUB6RA), 14.99 CAD, custom order, 1.8 m, https://www.canadacomputers.com/en/usb-cables/94740/startech-6-ft-micro-usb-cable-a-to-right-angle-micro-b-black-uusbhaub6ra-uusbhaub6ra.html</t>
  </si>
  <si>
    <t xml:space="preserve">https://www.staples.ca/products/1910647-en-startech-micro-usb-cable-with-right-angled-connectors-mm-1m-3ft</t>
  </si>
  <si>
    <t xml:space="preserve">velcro</t>
  </si>
  <si>
    <t xml:space="preserve">Velcro battery strap</t>
  </si>
  <si>
    <t xml:space="preserve">Rotor Village Kevlar hook-and-loop battery strap 20 x 245 mm, metal loop, 2 pcs</t>
  </si>
  <si>
    <t xml:space="preserve">Need 2 (R1 + H1): one pack. Canadian (.ca) FPV shop; the page displayed USD (US$6.42 x 1.4004 = CA$8.99, probably the native CAD price). In stock (348). No 20 mm straps at RobotShop/Canada Robotix/BC Robotics; Home Depot/RONA VELCRO ONE-WRAP 3/4 in listings showed no price.</t>
  </si>
  <si>
    <t xml:space="preserve">https://rotorvillage.ca/rvs-kevlar-battery-strap-2pk/</t>
  </si>
  <si>
    <t xml:space="preserve">wire18</t>
  </si>
  <si>
    <t xml:space="preserve">18 AWG silicone wire</t>
  </si>
  <si>
    <t xml:space="preserve">Red Silicon Wire AWG18 (3m) + Black Silicon Wire AWG18 (3m)</t>
  </si>
  <si>
    <t xml:space="preserve">Checked 2026-10-26. Red: visible sale price 2.79 (Lynxmotion, RB-Gog-57, 21 in stock). Black: 2.83 CAD from the page's og:price metadata, no visible price; https://ca.robotshop.com/products/black-silicon-wire-awg18-3m. 3 m of each, longer than the 1 m asked for.</t>
  </si>
  <si>
    <t xml:space="preserve">https://ca.robotshop.com/products/red-silicon-wire-awg18-3m</t>
  </si>
  <si>
    <t xml:space="preserve">wire22</t>
  </si>
  <si>
    <t xml:space="preserve">22 AWG silicone wire kit</t>
  </si>
  <si>
    <t xml:space="preserve">Plusivo 22 AWG stranded silicone wire kit, 6 colours x 7 m</t>
  </si>
  <si>
    <t xml:space="preserve">Shared R/H. Black, red, yellow, green, blue, white; 60 x 0.08 mm strands; 42 m total.</t>
  </si>
  <si>
    <t xml:space="preserve">https://ca.robotshop.com/products/plusivo-22awg-stranded-silicone-wire-kit-6-colors-7m-each</t>
  </si>
  <si>
    <t xml:space="preserve">woodscrew</t>
  </si>
  <si>
    <t xml:space="preserve">Wood screws #4 × 2 in</t>
  </si>
  <si>
    <t xml:space="preserve">#4 × 2 in wood screws, small pack</t>
  </si>
  <si>
    <t xml:space="preserve">Hardware store (typical)</t>
  </si>
  <si>
    <t xml:space="preserve">Estimate. Or 2 small C-clamps</t>
  </si>
  <si>
    <t xml:space="preserve">xt30</t>
  </si>
  <si>
    <t xml:space="preserve">XT30 pigtail</t>
  </si>
  <si>
    <t xml:space="preserve">Amass Battery Pigtail - XT30, 150 mm, female</t>
  </si>
  <si>
    <t xml:space="preserve">From the category listing (https://rotorvillage.ca/capacitors-plugs/, USD display). OUT OF STOCK; wire gauge not stated. CHECK GENDER: battery packs normally carry the female XT30, so the robot side normally needs the male (Rotor Village 'ESC Pigtail - XT30 150mm' male, US$1.98, in stock). Loose connectors: AMASS XT30U female 10-pack US$4.95; RobotShop CA DFRobot XT30 male/female pair C$2.71 (no leads).</t>
  </si>
  <si>
    <t xml:space="preserve">https://rotorvillage.ca/rotor-village-battery-pigtail-xt30-150mm-female/</t>
  </si>
  <si>
    <t xml:space="preserve">ziptie</t>
  </si>
  <si>
    <t xml:space="preserve">Zip ties</t>
  </si>
  <si>
    <t xml:space="preserve">Enkay cable ties 4 in, 3/32 in (~2.4 mm) wide, 18 lb, 100 pk</t>
  </si>
  <si>
    <t xml:space="preserve">Shared A/R/H. One page covers 4/6/8 in variants (4 and 6 in are 3/32 in wide; 8 in is 1/8 in); $5.99 shown but variant mapping unclear. Available. Alt: RobotShop ServoCity 100 mm zip ties, 100-pack $7.13 (width not stated).</t>
  </si>
  <si>
    <t xml:space="preserve">https://www.princessauto.com/en/product/PA0008584385</t>
  </si>
  <si>
    <t xml:space="preserve">Arm: bought parts and print cost</t>
  </si>
  <si>
    <t xml:space="preserve">Quantities come from the build guide's bill of materials. 'Value of parts used' counts only the share of each pack this robot uses; 'Cost to buy' is what you pay buying whole packs for this robot alone.</t>
  </si>
  <si>
    <t xml:space="preserve">Group</t>
  </si>
  <si>
    <t xml:space="preserve">Price key</t>
  </si>
  <si>
    <t xml:space="preserve">Qty</t>
  </si>
  <si>
    <t xml:space="preserve">Unit price</t>
  </si>
  <si>
    <t xml:space="preserve">Value of parts used</t>
  </si>
  <si>
    <t xml:space="preserve">Packs to buy</t>
  </si>
  <si>
    <t xml:space="preserve">Cost to buy</t>
  </si>
  <si>
    <t xml:space="preserve">Budget cost</t>
  </si>
  <si>
    <t xml:space="preserve">Where to buy</t>
  </si>
  <si>
    <t xml:space="preserve">Servos and boards</t>
  </si>
  <si>
    <t xml:space="preserve">MG996R metal-gear servo (base, shoulder, elbow)</t>
  </si>
  <si>
    <t xml:space="preserve">Keep the bags: Ø25 disc horn (base), double-arm horns</t>
  </si>
  <si>
    <t xml:space="preserve">MG90S metal-gear micro servo (wrist, claw)</t>
  </si>
  <si>
    <t xml:space="preserve">ESP32 DevKit (38- or 30-pin)</t>
  </si>
  <si>
    <t xml:space="preserve">Logitech Brio 4K webcam</t>
  </si>
  <si>
    <t xml:space="preserve">You already own one: not counted</t>
  </si>
  <si>
    <t xml:space="preserve">Power</t>
  </si>
  <si>
    <t xml:space="preserve">6 V 5 A DC adapter, 5.5 × 2.1 mm, centre positive</t>
  </si>
  <si>
    <t xml:space="preserve">5.5 × 2.1 mm panel-mount DC jack</t>
  </si>
  <si>
    <t xml:space="preserve">Inline DC switch lead, 5.5 × 2.1 mm, ≥ 5 A (off switch)</t>
  </si>
  <si>
    <t xml:space="preserve">Inline blade-fuse holder + 5 A blade</t>
  </si>
  <si>
    <t xml:space="preserve">Power bus: stripboard ≈ 50 × 30 mm + 3-pin male headers</t>
  </si>
  <si>
    <t xml:space="preserve">Or a 5-way terminal strip</t>
  </si>
  <si>
    <t xml:space="preserve">Silicone wire 18-20 AWG, red and black, 1 m</t>
  </si>
  <si>
    <t xml:space="preserve">Servo power never runs through Dupont jumpers</t>
  </si>
  <si>
    <t xml:space="preserve">1000 µF electrolytic capacitor</t>
  </si>
  <si>
    <t xml:space="preserve">SMBJ6.5A TVS diode (optional)</t>
  </si>
  <si>
    <t xml:space="preserve">Optional</t>
  </si>
  <si>
    <t xml:space="preserve">Wiring</t>
  </si>
  <si>
    <t xml:space="preserve">Servo extension 50 cm (claw, wrist)</t>
  </si>
  <si>
    <t xml:space="preserve">Priced at 60 cm</t>
  </si>
  <si>
    <t xml:space="preserve">Servo extension 30 cm (elbow)</t>
  </si>
  <si>
    <t xml:space="preserve">Jumper wires F-F (signals only)</t>
  </si>
  <si>
    <t xml:space="preserve">10 kΩ pull-down resistors (optional)</t>
  </si>
  <si>
    <t xml:space="preserve">Share of a resistor kit</t>
  </si>
  <si>
    <t xml:space="preserve">Right-angle micro-USB/USB-C cable for the ESP32</t>
  </si>
  <si>
    <t xml:space="preserve">Thin right-angle USB-C to USB-A cable, 2 m (Brio)</t>
  </si>
  <si>
    <t xml:space="preserve">Priced for a straight 2 m cable</t>
  </si>
  <si>
    <t xml:space="preserve">Zip ties, adhesive tie mounts</t>
  </si>
  <si>
    <t xml:space="preserve">Adhesive cable-tie mounts</t>
  </si>
  <si>
    <t xml:space="preserve">Heat-shrink tubing</t>
  </si>
  <si>
    <t xml:space="preserve">Share of a kit</t>
  </si>
  <si>
    <t xml:space="preserve">Fasteners</t>
  </si>
  <si>
    <t xml:space="preserve">M3 × 14 socket head (horn clamps) and other M3 machine screws</t>
  </si>
  <si>
    <t xml:space="preserve">Share of a 240-piece kit</t>
  </si>
  <si>
    <t xml:space="preserve">M3 large washers Ø9</t>
  </si>
  <si>
    <t xml:space="preserve">M3 washers Ø7 (MG996R tab screws)</t>
  </si>
  <si>
    <t xml:space="preserve">Self-tapping screws M2-M3, 6-12 mm (≈33)</t>
  </si>
  <si>
    <t xml:space="preserve">Tab, cover, ring, cradle and horn screws</t>
  </si>
  <si>
    <t xml:space="preserve">M2 × 12 machine screws (wrist and pinion clamps)</t>
  </si>
  <si>
    <t xml:space="preserve">M2 washers Ø6</t>
  </si>
  <si>
    <t xml:space="preserve">#4 × 2 in wood screws (desk mounting)</t>
  </si>
  <si>
    <t xml:space="preserve">Or a 200 × 200 mm board with rubber feet</t>
  </si>
  <si>
    <t xml:space="preserve">1/4"-20 × 5/16" thumb screw (camera)</t>
  </si>
  <si>
    <t xml:space="preserve">Supplies</t>
  </si>
  <si>
    <t xml:space="preserve">PTFE tape (turntable ring)</t>
  </si>
  <si>
    <t xml:space="preserve">Rubber feet (board option)</t>
  </si>
  <si>
    <t xml:space="preserve">CA glue (horn in the pinion)</t>
  </si>
  <si>
    <t xml:space="preserve">Printing</t>
  </si>
  <si>
    <t xml:space="preserve">Printed</t>
  </si>
  <si>
    <t xml:space="preserve">PETG filament (kg)</t>
  </si>
  <si>
    <t xml:space="preserve">Slices of 26 Oct 2026: 11 plates; claw frame and cover from their earlier slices until the fifth attempt is sliced. 'Cost to buy' counts whole 1 kg spools.</t>
  </si>
  <si>
    <t xml:space="preserve">Print electricity (hours)</t>
  </si>
  <si>
    <t xml:space="preserve">Printer power × NB Power rate (Summary sheet)</t>
  </si>
  <si>
    <t xml:space="preserve">HST</t>
  </si>
  <si>
    <t xml:space="preserve">Rover: bought parts and print cost</t>
  </si>
  <si>
    <t xml:space="preserve">Motors and boards</t>
  </si>
  <si>
    <t xml:space="preserve">N20 gearmotor 6 V ≈150:1 (LP or MP), 3 mm D-shaft 10 mm long (at least 9.6 mm)</t>
  </si>
  <si>
    <t xml:space="preserve">Not a 9 mm shaft (sprocket strength round 4)</t>
  </si>
  <si>
    <t xml:space="preserve">Pololu #1996 aluminium hub, 3 mm (2-pack)</t>
  </si>
  <si>
    <t xml:space="preserve">One pack</t>
  </si>
  <si>
    <t xml:space="preserve">TB6612FNG motor driver carrier</t>
  </si>
  <si>
    <t xml:space="preserve">HC-SR04 ultrasonic sensor</t>
  </si>
  <si>
    <t xml:space="preserve">170-point mini breadboard</t>
  </si>
  <si>
    <t xml:space="preserve">18650 Li-ion cells, protected</t>
  </si>
  <si>
    <t xml:space="preserve">2 × 18650 series holder (long)</t>
  </si>
  <si>
    <t xml:space="preserve">Two-bay Li-ion charger</t>
  </si>
  <si>
    <t xml:space="preserve">MP1584 buck module</t>
  </si>
  <si>
    <t xml:space="preserve">MTS-102 mini toggle switch</t>
  </si>
  <si>
    <t xml:space="preserve">100 µF electrolytic capacitor</t>
  </si>
  <si>
    <t xml:space="preserve">100 nF ceramic capacitors</t>
  </si>
  <si>
    <t xml:space="preserve">Schottky diode (SS14 / 1N5817 / 1N5818)</t>
  </si>
  <si>
    <t xml:space="preserve">Resistors (1k, 2k, 33k, 100k)</t>
  </si>
  <si>
    <t xml:space="preserve">33 kΩ resistor</t>
  </si>
  <si>
    <t xml:space="preserve">The kit has no 33k</t>
  </si>
  <si>
    <t xml:space="preserve">Jumper wires</t>
  </si>
  <si>
    <t xml:space="preserve">22 AWG silicone wire</t>
  </si>
  <si>
    <t xml:space="preserve">Velcro battery strap 20 mm</t>
  </si>
  <si>
    <t xml:space="preserve">M3 × 50 socket head, class 12.9, fully threaded</t>
  </si>
  <si>
    <t xml:space="preserve">Not stainless A2-70 (strength round 3)</t>
  </si>
  <si>
    <t xml:space="preserve">M3 × 40 socket head, class 12.9, fully threaded</t>
  </si>
  <si>
    <t xml:space="preserve">M3 × 12 and M3 × 8 socket head, M3 nuts</t>
  </si>
  <si>
    <t xml:space="preserve">M3 × 20 set screw, flat point</t>
  </si>
  <si>
    <t xml:space="preserve">M3 hex nuts DIN 934 (wall nut traps)</t>
  </si>
  <si>
    <t xml:space="preserve">Ø2 mm steel rod, 100 mm (cut into 68 + 2 track pins)</t>
  </si>
  <si>
    <t xml:space="preserve">Or buy Ø2 × 24 dowel pins</t>
  </si>
  <si>
    <t xml:space="preserve">2 mm steel flat bar (idler plates, round 4)</t>
  </si>
  <si>
    <t xml:space="preserve">Cut two plates of each size</t>
  </si>
  <si>
    <t xml:space="preserve">Double-sided mounting tape</t>
  </si>
  <si>
    <t xml:space="preserve">Share of a roll</t>
  </si>
  <si>
    <t xml:space="preserve">Threadlocker, medium (blue)</t>
  </si>
  <si>
    <t xml:space="preserve">Share of a bottle</t>
  </si>
  <si>
    <t xml:space="preserve">Slices of 26 Oct 2026: 8 plates (chassis round 6, lid, sprockets, idlers, wheels 2 x 2, links 35 x 2). 'Cost to buy' counts whole 1 kg spools.</t>
  </si>
  <si>
    <t xml:space="preserve">Hexapod: bought parts and print cost</t>
  </si>
  <si>
    <t xml:space="preserve">MG90S metal-gear micro servo</t>
  </si>
  <si>
    <t xml:space="preserve">PCA9685 16-channel servo driver</t>
  </si>
  <si>
    <t xml:space="preserve">2S 1000 mAh LiPo, ≥ 20C, XT30</t>
  </si>
  <si>
    <t xml:space="preserve">UBEC, 2S input, 6 V, ≥ 5 A</t>
  </si>
  <si>
    <t xml:space="preserve">Switch rated ≥ 10 A DC</t>
  </si>
  <si>
    <t xml:space="preserve">Inline blade-fuse holder + 7.5 A blade</t>
  </si>
  <si>
    <t xml:space="preserve">XT30 male pigtail, 18 AWG (mates with the LiPo's female plug)</t>
  </si>
  <si>
    <t xml:space="preserve">Price is for the same pigtail with the other gender</t>
  </si>
  <si>
    <t xml:space="preserve">LiPo voltage alarm</t>
  </si>
  <si>
    <t xml:space="preserve">LiPo charging bag</t>
  </si>
  <si>
    <t xml:space="preserve">1000 µF electrolytic capacitors</t>
  </si>
  <si>
    <t xml:space="preserve">100 nF ceramic capacitor</t>
  </si>
  <si>
    <t xml:space="preserve">Schottky diode</t>
  </si>
  <si>
    <t xml:space="preserve">Resistors (33k, 100k)</t>
  </si>
  <si>
    <t xml:space="preserve">6 femur + 6 tibia</t>
  </si>
  <si>
    <t xml:space="preserve">Zip ties (≤ 2.5 mm)</t>
  </si>
  <si>
    <t xml:space="preserve">M2 machine screws 12-14 mm (clamps and coxa tabs)</t>
  </si>
  <si>
    <t xml:space="preserve">M2 Nyloc nuts (coxa tabs, round 4)</t>
  </si>
  <si>
    <t xml:space="preserve">M2 washers Ø5 and Ø6</t>
  </si>
  <si>
    <t xml:space="preserve">M3 penny washers Ø9-10 (coxa clamps)</t>
  </si>
  <si>
    <t xml:space="preserve">Self-tapping screws M2 8-10 mm and M3 × 8</t>
  </si>
  <si>
    <t xml:space="preserve">M2.5 × 6 self-tapping (PCA9685 boards)</t>
  </si>
  <si>
    <t xml:space="preserve">M1.7 × 5 horn anti-rotation screws</t>
  </si>
  <si>
    <t xml:space="preserve">Slices of 26 Oct 2026: 9 plates (coxa 2 x 3, femur and tibia 3 x 2, deck, bottom plate). 'Cost to buy' counts whole 1 kg spools.</t>
  </si>
  <si>
    <t xml:space="preserve">All three robots bought together</t>
  </si>
  <si>
    <t xml:space="preserve">Shared packs are bought once: one servo order, one resistor kit, one screw kit, and so on. Quantities add up across the three robot sheets.</t>
  </si>
  <si>
    <t xml:space="preserve">Total qty</t>
  </si>
  <si>
    <t xml:space="preserve">PETG filament (kg), all three</t>
  </si>
  <si>
    <t xml:space="preserve">Print electricity, all three</t>
  </si>
</sst>
</file>

<file path=xl/styles.xml><?xml version="1.0" encoding="utf-8"?>
<styleSheet xmlns="http://schemas.openxmlformats.org/spreadsheetml/2006/main">
  <numFmts count="9">
    <numFmt numFmtId="164" formatCode="General"/>
    <numFmt numFmtId="165" formatCode="0%"/>
    <numFmt numFmtId="166" formatCode="0.0000"/>
    <numFmt numFmtId="167" formatCode="\$#,##0.00;&quot;($&quot;#,##0.00\);\-"/>
    <numFmt numFmtId="168" formatCode="\$0.0000"/>
    <numFmt numFmtId="169" formatCode="0.00"/>
    <numFmt numFmtId="170" formatCode="\$#,##0;&quot;($&quot;#,##0\);\-"/>
    <numFmt numFmtId="171" formatCode="#,##0.00"/>
    <numFmt numFmtId="172" formatCode="\$#,##0.000"/>
  </numFmts>
  <fonts count="12">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i val="true"/>
      <sz val="9"/>
      <color rgb="FF555555"/>
      <name val="Arial"/>
      <family val="0"/>
      <charset val="1"/>
    </font>
    <font>
      <b val="true"/>
      <sz val="11"/>
      <name val="Arial"/>
      <family val="0"/>
      <charset val="1"/>
    </font>
    <font>
      <sz val="10"/>
      <name val="Arial"/>
      <family val="0"/>
      <charset val="1"/>
    </font>
    <font>
      <sz val="10"/>
      <color rgb="FF0000FF"/>
      <name val="Arial"/>
      <family val="0"/>
      <charset val="1"/>
    </font>
    <font>
      <sz val="10"/>
      <color rgb="FF008000"/>
      <name val="Arial"/>
      <family val="0"/>
      <charset val="1"/>
    </font>
    <font>
      <b val="true"/>
      <sz val="10"/>
      <name val="Arial"/>
      <family val="0"/>
      <charset val="1"/>
    </font>
    <font>
      <u val="single"/>
      <sz val="10"/>
      <color rgb="FF1155CC"/>
      <name val="Arial"/>
      <family val="0"/>
      <charset val="1"/>
    </font>
  </fonts>
  <fills count="4">
    <fill>
      <patternFill patternType="none"/>
    </fill>
    <fill>
      <patternFill patternType="gray125"/>
    </fill>
    <fill>
      <patternFill patternType="solid">
        <fgColor rgb="FFE8ECEF"/>
        <bgColor rgb="FFF3F5F7"/>
      </patternFill>
    </fill>
    <fill>
      <patternFill patternType="solid">
        <fgColor rgb="FFF3F5F7"/>
        <bgColor rgb="FFE8ECEF"/>
      </patternFill>
    </fill>
  </fills>
  <borders count="2">
    <border diagonalUp="false" diagonalDown="false">
      <left/>
      <right/>
      <top/>
      <bottom/>
      <diagonal/>
    </border>
    <border diagonalUp="false" diagonalDown="false">
      <left/>
      <right/>
      <top/>
      <bottom style="thin">
        <color rgb="FFC9D1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general" vertical="bottom" textRotation="0" wrapText="tru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70" fontId="9" fillId="3" borderId="0" xfId="0" applyFont="true" applyBorder="false" applyAlignment="false" applyProtection="false">
      <alignment horizontal="general" vertical="bottom" textRotation="0" wrapText="false" indent="0" shrinkToFit="false"/>
      <protection locked="true" hidden="false"/>
    </xf>
    <xf numFmtId="167" fontId="9" fillId="3" borderId="0" xfId="0" applyFont="true" applyBorder="false" applyAlignment="false" applyProtection="false">
      <alignment horizontal="general" vertical="bottom" textRotation="0" wrapText="false" indent="0" shrinkToFit="false"/>
      <protection locked="true" hidden="false"/>
    </xf>
    <xf numFmtId="170" fontId="10"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71" fontId="8" fillId="0" borderId="0" xfId="0" applyFont="tru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7"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7" fontId="9"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10"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3F5F7"/>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ECEF"/>
      <rgbColor rgb="FF660066"/>
      <rgbColor rgb="FFFF8080"/>
      <rgbColor rgb="FF1155CC"/>
      <rgbColor rgb="FFC9D1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canadarobotix.com/products/941" TargetMode="External"/><Relationship Id="rId2" Type="http://schemas.openxmlformats.org/officeDocument/2006/relationships/hyperlink" Target="https://www.canadacomputers.com/en/webcam/105281/logitech-brio-webcam-with-4k-ultra-hd-video-black-960-001105.html" TargetMode="External"/><Relationship Id="rId3" Type="http://schemas.openxmlformats.org/officeDocument/2006/relationships/hyperlink" Target="https://ca.robotshop.com/products/sparkfun-electrolytic-decoupling-capacitors-1000uf-25v" TargetMode="External"/><Relationship Id="rId4" Type="http://schemas.openxmlformats.org/officeDocument/2006/relationships/hyperlink" Target="https://ca.robotshop.com/products/sparkfun-electrolytic-decoupling-capacitors-100uf-25v" TargetMode="External"/><Relationship Id="rId5" Type="http://schemas.openxmlformats.org/officeDocument/2006/relationships/hyperlink" Target="https://www.flashlightworld.com/collections/18650-batteries/products/panasonic-ncr-18650b-3400mah-4-9a-protected-button-top-battery" TargetMode="External"/><Relationship Id="rId6" Type="http://schemas.openxmlformats.org/officeDocument/2006/relationships/hyperlink" Target="https://illumn.com/18650-lg-mj1-inr18650-mj1-high-discharge-protected-button-top.html" TargetMode="External"/><Relationship Id="rId7" Type="http://schemas.openxmlformats.org/officeDocument/2006/relationships/hyperlink" Target="https://www.canadarobotix.com/products/905" TargetMode="External"/><Relationship Id="rId8" Type="http://schemas.openxmlformats.org/officeDocument/2006/relationships/hyperlink" Target="https://illumn.com/chargers/xtar-x2-li-ion-ni-mh-dual-bay-smart-quick-charger.html" TargetMode="External"/><Relationship Id="rId9" Type="http://schemas.openxmlformats.org/officeDocument/2006/relationships/hyperlink" Target="https://www.princessauto.com/en/product/PA0008551582" TargetMode="External"/><Relationship Id="rId10" Type="http://schemas.openxmlformats.org/officeDocument/2006/relationships/hyperlink" Target="https://www.princessauto.com/en/product/PA0009298993" TargetMode="External"/><Relationship Id="rId11" Type="http://schemas.openxmlformats.org/officeDocument/2006/relationships/hyperlink" Target="https://www.princessauto.com/en/product/PA0008369621" TargetMode="External"/><Relationship Id="rId12" Type="http://schemas.openxmlformats.org/officeDocument/2006/relationships/hyperlink" Target="https://ca.robotshop.com/products/loctite-threadlocker-blue-242-6ml" TargetMode="External"/><Relationship Id="rId13" Type="http://schemas.openxmlformats.org/officeDocument/2006/relationships/hyperlink" Target="https://bc-robotics.com/shop/metal-panel-mount-2-1mm-dc-barrel-jack/" TargetMode="External"/><Relationship Id="rId14" Type="http://schemas.openxmlformats.org/officeDocument/2006/relationships/hyperlink" Target="https://bc-robotics.com/shop/inline-power-switch-2-1mm-barrel-plug/" TargetMode="External"/><Relationship Id="rId15" Type="http://schemas.openxmlformats.org/officeDocument/2006/relationships/hyperlink" Target="https://bc-robotics.com/shop/2-x-100mm-shaft/" TargetMode="External"/><Relationship Id="rId16" Type="http://schemas.openxmlformats.org/officeDocument/2006/relationships/hyperlink" Target="https://nbpower.com/en/products-services/residential/rates" TargetMode="External"/><Relationship Id="rId17" Type="http://schemas.openxmlformats.org/officeDocument/2006/relationships/hyperlink" Target="https://www.universal-solder.ca/product/esp32-devkit-esp-wroom-32-4mb-cp2101-usb-uart/" TargetMode="External"/><Relationship Id="rId18" Type="http://schemas.openxmlformats.org/officeDocument/2006/relationships/hyperlink" Target="https://bc-robotics.com/shop/inline-ato-atc-fuse-holder-18awg/" TargetMode="External"/><Relationship Id="rId19" Type="http://schemas.openxmlformats.org/officeDocument/2006/relationships/hyperlink" Target="https://www.poundsterlinglive.com/history/USD-CAD-2026" TargetMode="External"/><Relationship Id="rId20" Type="http://schemas.openxmlformats.org/officeDocument/2006/relationships/hyperlink" Target="https://ca.robotshop.com/products/hc-sr04-ultrasonic-sensor" TargetMode="External"/><Relationship Id="rId21" Type="http://schemas.openxmlformats.org/officeDocument/2006/relationships/hyperlink" Target="https://ca.robotshop.com/products/servocity-heat-shrink-tubing-560pc-assortment-pack" TargetMode="External"/><Relationship Id="rId22" Type="http://schemas.openxmlformats.org/officeDocument/2006/relationships/hyperlink" Target="https://bc-robotics.com/shop/2-x-18650-battery-holder/" TargetMode="External"/><Relationship Id="rId23" Type="http://schemas.openxmlformats.org/officeDocument/2006/relationships/hyperlink" Target="https://www.canadarobotix.com/products/1322" TargetMode="External"/><Relationship Id="rId24" Type="http://schemas.openxmlformats.org/officeDocument/2006/relationships/hyperlink" Target="https://spool3d.ca/m3-knurled-brass-threaded-insert/" TargetMode="External"/><Relationship Id="rId25" Type="http://schemas.openxmlformats.org/officeDocument/2006/relationships/hyperlink" Target="https://ca.robotshop.com/products/servocity-female-to-female-jumper-wire-multicolor-20cm-length-40-pack" TargetMode="External"/><Relationship Id="rId26" Type="http://schemas.openxmlformats.org/officeDocument/2006/relationships/hyperlink" Target="https://ca.robotshop.com/products/servocity-male-to-female-jumper-wire-multicolor-20cm-length-40-pack" TargetMode="External"/><Relationship Id="rId27" Type="http://schemas.openxmlformats.org/officeDocument/2006/relationships/hyperlink" Target="https://ca.robotshop.com/products/servocity-male-to-male-jumper-wire-multicolor-20cm-length-40-pack" TargetMode="External"/><Relationship Id="rId28" Type="http://schemas.openxmlformats.org/officeDocument/2006/relationships/hyperlink" Target="https://rotorvillage.ca/gnb-long-range-1100mah-2s-hv-60c-lipo-xt30/" TargetMode="External"/><Relationship Id="rId29" Type="http://schemas.openxmlformats.org/officeDocument/2006/relationships/hyperlink" Target="https://rotorvillage.ca/lipo-voltmeter-buzzer-1s-to-8s/" TargetMode="External"/><Relationship Id="rId30" Type="http://schemas.openxmlformats.org/officeDocument/2006/relationships/hyperlink" Target="https://rotorvillage.ca/rvs-lipo-storage-bag/" TargetMode="External"/><Relationship Id="rId31" Type="http://schemas.openxmlformats.org/officeDocument/2006/relationships/hyperlink" Target="https://ca.robotshop.com/products/b3ac-lipo-battery-charger-18w-us" TargetMode="External"/><Relationship Id="rId32" Type="http://schemas.openxmlformats.org/officeDocument/2006/relationships/hyperlink" Target="https://bearingscanada.com/products/750-pcs-self-tapping-screws-for-plastic-and-metal" TargetMode="External"/><Relationship Id="rId33" Type="http://schemas.openxmlformats.org/officeDocument/2006/relationships/hyperlink" Target="https://www.canadarobotix.com/products/843" TargetMode="External"/><Relationship Id="rId34" Type="http://schemas.openxmlformats.org/officeDocument/2006/relationships/hyperlink" Target="https://bc-robotics.com/shop/m2-screw-set-40-pcs/" TargetMode="External"/><Relationship Id="rId35" Type="http://schemas.openxmlformats.org/officeDocument/2006/relationships/hyperlink" Target="https://spool3d.ca/m2-nylon-hex-nut-stainless-steel/" TargetMode="External"/><Relationship Id="rId36" Type="http://schemas.openxmlformats.org/officeDocument/2006/relationships/hyperlink" Target="https://ca.robotshop.com/products/3d-printing-canada-usa-3d-printing-canada-stainless-steel-metric-flat-washers-m2-10-pack" TargetMode="External"/><Relationship Id="rId37" Type="http://schemas.openxmlformats.org/officeDocument/2006/relationships/hyperlink" Target="https://www.amazon.ca/" TargetMode="External"/><Relationship Id="rId38" Type="http://schemas.openxmlformats.org/officeDocument/2006/relationships/hyperlink" Target="https://www.amazon.ca/" TargetMode="External"/><Relationship Id="rId39" Type="http://schemas.openxmlformats.org/officeDocument/2006/relationships/hyperlink" Target="https://spool3d.ca/m3-hex-nut-alloy-steel/" TargetMode="External"/><Relationship Id="rId40" Type="http://schemas.openxmlformats.org/officeDocument/2006/relationships/hyperlink" Target="https://ca.robotshop.com/products/3d-printing-canada-usa-3d-printing-canada-stainless-steel-metric-thread-nyloc-hex-nuts-m3-10-pack" TargetMode="External"/><Relationship Id="rId41" Type="http://schemas.openxmlformats.org/officeDocument/2006/relationships/hyperlink" Target="https://spool3d.ca/m3-socket-flat-point-grub-screw-stainless-steel/" TargetMode="External"/><Relationship Id="rId42" Type="http://schemas.openxmlformats.org/officeDocument/2006/relationships/hyperlink" Target="https://spool3d.ca/m3-socket-head-cap-screw-kit-stainless-steel/" TargetMode="External"/><Relationship Id="rId43" Type="http://schemas.openxmlformats.org/officeDocument/2006/relationships/hyperlink" Target="https://ca.robotshop.com/products/3d-printing-canada-usa-stainless-steel-metric-flat-washers-10-pack-m3-oversized" TargetMode="External"/><Relationship Id="rId44" Type="http://schemas.openxmlformats.org/officeDocument/2006/relationships/hyperlink" Target="https://bc-robotics.com/shop/m3-washer-set-40-pcs/" TargetMode="External"/><Relationship Id="rId45" Type="http://schemas.openxmlformats.org/officeDocument/2006/relationships/hyperlink" Target="https://bc-robotics.com/shop/micro-servo-high-torque-metal-gear/" TargetMode="External"/><Relationship Id="rId46" Type="http://schemas.openxmlformats.org/officeDocument/2006/relationships/hyperlink" Target="https://www.waveshare.com/mg90s-servo.htm" TargetMode="External"/><Relationship Id="rId47" Type="http://schemas.openxmlformats.org/officeDocument/2006/relationships/hyperlink" Target="https://www.pishop.ca/product/mg996r-high-torque-servo/" TargetMode="External"/><Relationship Id="rId48" Type="http://schemas.openxmlformats.org/officeDocument/2006/relationships/hyperlink" Target="https://www.waveshare.com/product/modules/motors-servos/mg996r-servo.htm" TargetMode="External"/><Relationship Id="rId49" Type="http://schemas.openxmlformats.org/officeDocument/2006/relationships/hyperlink" Target="https://www.aliexpress.com/w/wholesale-mp1584.html" TargetMode="External"/><Relationship Id="rId50" Type="http://schemas.openxmlformats.org/officeDocument/2006/relationships/hyperlink" Target="https://www.canadarobotix.com/products/2835" TargetMode="External"/><Relationship Id="rId51" Type="http://schemas.openxmlformats.org/officeDocument/2006/relationships/hyperlink" Target="https://www.universal-solder.ca/product/16-channel-12-bit-pwm-servo-driver-i2c/" TargetMode="External"/><Relationship Id="rId52" Type="http://schemas.openxmlformats.org/officeDocument/2006/relationships/hyperlink" Target="https://www.canadacomputers.com/en/1207/filaments" TargetMode="External"/><Relationship Id="rId53" Type="http://schemas.openxmlformats.org/officeDocument/2006/relationships/hyperlink" Target="https://www.prusa3d.com/category/prusament-petg/" TargetMode="External"/><Relationship Id="rId54" Type="http://schemas.openxmlformats.org/officeDocument/2006/relationships/hyperlink" Target="https://leeselectronic.com/en/product/184500-wago-terminal-block-3-pos-24-12awg-221-series.html" TargetMode="External"/><Relationship Id="rId55" Type="http://schemas.openxmlformats.org/officeDocument/2006/relationships/hyperlink" Target="https://ca.robotshop.com/products/power-supply-output-6vdc-5a-input-100-240vac" TargetMode="External"/><Relationship Id="rId56" Type="http://schemas.openxmlformats.org/officeDocument/2006/relationships/hyperlink" Target="https://www.princessauto.com/en/product/PA0008659666" TargetMode="External"/><Relationship Id="rId57" Type="http://schemas.openxmlformats.org/officeDocument/2006/relationships/hyperlink" Target="https://bc-robotics.com/shop/14-watt-resistor/" TargetMode="External"/><Relationship Id="rId58" Type="http://schemas.openxmlformats.org/officeDocument/2006/relationships/hyperlink" Target="https://bc-robotics.com/shop/assorted-resistor-kit-600-pcs/" TargetMode="External"/><Relationship Id="rId59" Type="http://schemas.openxmlformats.org/officeDocument/2006/relationships/hyperlink" Target="https://bc-robotics.com/shop/adhesive-rubber-feet/" TargetMode="External"/><Relationship Id="rId60" Type="http://schemas.openxmlformats.org/officeDocument/2006/relationships/hyperlink" Target="https://www.canadarobotix.com/products/980" TargetMode="External"/><Relationship Id="rId61" Type="http://schemas.openxmlformats.org/officeDocument/2006/relationships/hyperlink" Target="https://www.canadarobotix.com/collections/other-hardware/products/2096" TargetMode="External"/><Relationship Id="rId62" Type="http://schemas.openxmlformats.org/officeDocument/2006/relationships/hyperlink" Target="https://ca.robotshop.com/products/servo-extension-cable-150mm" TargetMode="External"/><Relationship Id="rId63" Type="http://schemas.openxmlformats.org/officeDocument/2006/relationships/hyperlink" Target="https://ca.robotshop.com/products/sea-02-servo-extender-cable-12" TargetMode="External"/><Relationship Id="rId64" Type="http://schemas.openxmlformats.org/officeDocument/2006/relationships/hyperlink" Target="https://ca.robotshop.com/products/servo-extension-cable-600mm" TargetMode="External"/><Relationship Id="rId65" Type="http://schemas.openxmlformats.org/officeDocument/2006/relationships/hyperlink" Target="https://solarbotics.com/product/20930/" TargetMode="External"/><Relationship Id="rId66" Type="http://schemas.openxmlformats.org/officeDocument/2006/relationships/hyperlink" Target="https://www.canadarobotix.com/products/1130" TargetMode="External"/><Relationship Id="rId67" Type="http://schemas.openxmlformats.org/officeDocument/2006/relationships/hyperlink" Target="https://ca.robotshop.com/products/pololu-dual-dc-motor-driver-1a-4-5v-3-5v-tb6612fng" TargetMode="External"/><Relationship Id="rId68" Type="http://schemas.openxmlformats.org/officeDocument/2006/relationships/hyperlink" Target="https://kbctools.ca/itemdetail/1-905-KK2531" TargetMode="External"/><Relationship Id="rId69" Type="http://schemas.openxmlformats.org/officeDocument/2006/relationships/hyperlink" Target="https://fleetnetwork.ca/products/adhesive-cable-tie-mount-1x-1-black-pack-of-100.html" TargetMode="External"/><Relationship Id="rId70" Type="http://schemas.openxmlformats.org/officeDocument/2006/relationships/hyperlink" Target="https://www.canadarobotix.com/products/949" TargetMode="External"/><Relationship Id="rId71" Type="http://schemas.openxmlformats.org/officeDocument/2006/relationships/hyperlink" Target="https://www.mouser.ca/ProductDetail/Littelfuse/SMBJ65A?qs=HR2RnyOI4E54mNEmZE5SaA%3D%3D" TargetMode="External"/><Relationship Id="rId72" Type="http://schemas.openxmlformats.org/officeDocument/2006/relationships/hyperlink" Target="https://www.hobbywingdirect.com/products/ubec-10a" TargetMode="External"/><Relationship Id="rId73" Type="http://schemas.openxmlformats.org/officeDocument/2006/relationships/hyperlink" Target="https://ca.robotshop.com/products/reversible-usb-a-to-usb-c-cable-2m" TargetMode="External"/><Relationship Id="rId74" Type="http://schemas.openxmlformats.org/officeDocument/2006/relationships/hyperlink" Target="https://www.staples.ca/products/1910647-en-startech-micro-usb-cable-with-right-angled-connectors-mm-1m-3ft" TargetMode="External"/><Relationship Id="rId75" Type="http://schemas.openxmlformats.org/officeDocument/2006/relationships/hyperlink" Target="https://rotorvillage.ca/rvs-kevlar-battery-strap-2pk/" TargetMode="External"/><Relationship Id="rId76" Type="http://schemas.openxmlformats.org/officeDocument/2006/relationships/hyperlink" Target="https://ca.robotshop.com/products/red-silicon-wire-awg18-3m" TargetMode="External"/><Relationship Id="rId77" Type="http://schemas.openxmlformats.org/officeDocument/2006/relationships/hyperlink" Target="https://ca.robotshop.com/products/plusivo-22awg-stranded-silicone-wire-kit-6-colors-7m-each" TargetMode="External"/><Relationship Id="rId78" Type="http://schemas.openxmlformats.org/officeDocument/2006/relationships/hyperlink" Target="https://rotorvillage.ca/rotor-village-battery-pigtail-xt30-150mm-female/" TargetMode="External"/><Relationship Id="rId79" Type="http://schemas.openxmlformats.org/officeDocument/2006/relationships/hyperlink" Target="https://www.princessauto.com/en/product/PA0008584385"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13"/>
    <col collapsed="false" customWidth="true" hidden="false" outlineLevel="0" max="4" min="4" style="0" width="12"/>
    <col collapsed="false" customWidth="true" hidden="false" outlineLevel="0" max="5" min="5" style="0" width="11"/>
    <col collapsed="false" customWidth="true" hidden="false" outlineLevel="0" max="7" min="6" style="0" width="15"/>
    <col collapsed="false" customWidth="true" hidden="false" outlineLevel="0" max="8" min="8" style="0" width="18"/>
  </cols>
  <sheetData>
    <row r="1" customFormat="false" ht="19.7" hidden="false" customHeight="false" outlineLevel="0" collapsed="false">
      <c r="A1" s="1" t="s">
        <v>0</v>
      </c>
    </row>
    <row r="2" customFormat="false" ht="30" hidden="false" customHeight="true" outlineLevel="0" collapsed="false">
      <c r="A2" s="2" t="s">
        <v>1</v>
      </c>
      <c r="B2" s="2"/>
      <c r="C2" s="2"/>
      <c r="D2" s="2"/>
      <c r="E2" s="2"/>
      <c r="F2" s="2"/>
      <c r="G2" s="2"/>
      <c r="H2" s="2"/>
    </row>
    <row r="5" customFormat="false" ht="15" hidden="false" customHeight="false" outlineLevel="0" collapsed="false">
      <c r="A5" s="3" t="s">
        <v>2</v>
      </c>
    </row>
    <row r="7" customFormat="false" ht="15" hidden="false" customHeight="false" outlineLevel="0" collapsed="false">
      <c r="B7" s="4" t="s">
        <v>3</v>
      </c>
      <c r="C7" s="5" t="n">
        <v>0.15</v>
      </c>
      <c r="D7" s="6" t="s">
        <v>4</v>
      </c>
    </row>
    <row r="8" customFormat="false" ht="15" hidden="false" customHeight="false" outlineLevel="0" collapsed="false">
      <c r="B8" s="4" t="s">
        <v>5</v>
      </c>
      <c r="C8" s="7" t="n">
        <v>1.3993</v>
      </c>
      <c r="D8" s="6" t="s">
        <v>6</v>
      </c>
    </row>
    <row r="9" customFormat="false" ht="15" hidden="false" customHeight="false" outlineLevel="0" collapsed="false">
      <c r="B9" s="4" t="s">
        <v>7</v>
      </c>
      <c r="C9" s="8" t="n">
        <f aca="false">Prices!H54</f>
        <v>14.99</v>
      </c>
      <c r="D9" s="6" t="s">
        <v>8</v>
      </c>
    </row>
    <row r="10" customFormat="false" ht="15" hidden="false" customHeight="false" outlineLevel="0" collapsed="false">
      <c r="B10" s="4" t="s">
        <v>9</v>
      </c>
      <c r="C10" s="9" t="n">
        <f aca="false">Prices!H19</f>
        <v>0.1584</v>
      </c>
      <c r="D10" s="6" t="s">
        <v>10</v>
      </c>
    </row>
    <row r="11" customFormat="false" ht="15" hidden="false" customHeight="false" outlineLevel="0" collapsed="false">
      <c r="B11" s="4" t="s">
        <v>11</v>
      </c>
      <c r="C11" s="10" t="n">
        <v>0.09</v>
      </c>
      <c r="D11" s="6" t="s">
        <v>12</v>
      </c>
    </row>
    <row r="13" customFormat="false" ht="15" hidden="false" customHeight="false" outlineLevel="0" collapsed="false">
      <c r="A13" s="3" t="s">
        <v>13</v>
      </c>
    </row>
    <row r="14" customFormat="false" ht="23.85" hidden="false" customHeight="false" outlineLevel="0" collapsed="false">
      <c r="A14" s="11"/>
      <c r="B14" s="11" t="s">
        <v>14</v>
      </c>
      <c r="C14" s="11" t="s">
        <v>15</v>
      </c>
      <c r="D14" s="11" t="s">
        <v>16</v>
      </c>
      <c r="E14" s="11" t="s">
        <v>17</v>
      </c>
      <c r="F14" s="11" t="s">
        <v>18</v>
      </c>
      <c r="G14" s="11" t="s">
        <v>19</v>
      </c>
      <c r="H14" s="11" t="s">
        <v>20</v>
      </c>
    </row>
    <row r="15" customFormat="false" ht="15" hidden="false" customHeight="false" outlineLevel="0" collapsed="false">
      <c r="B15" s="4" t="s">
        <v>21</v>
      </c>
      <c r="C15" s="12" t="n">
        <f aca="false">SUM(Arm!J5:J36)</f>
        <v>263.15</v>
      </c>
      <c r="D15" s="12" t="n">
        <f aca="false">Arm!J39</f>
        <v>14.99</v>
      </c>
      <c r="E15" s="8" t="n">
        <f aca="false">Arm!J40</f>
        <v>0.491832</v>
      </c>
      <c r="F15" s="13" t="n">
        <f aca="false">SUM(C15:E15)</f>
        <v>278.631832</v>
      </c>
      <c r="G15" s="14" t="n">
        <f aca="false">F15*(1+$C$7)</f>
        <v>320.4266068</v>
      </c>
      <c r="H15" s="13" t="n">
        <f aca="false">Arm!K42*(1+$C$7)</f>
        <v>274.87524595</v>
      </c>
    </row>
    <row r="16" customFormat="false" ht="15" hidden="false" customHeight="false" outlineLevel="0" collapsed="false">
      <c r="B16" s="4" t="s">
        <v>22</v>
      </c>
      <c r="C16" s="12" t="n">
        <f aca="false">SUM(Rover!J5:J39)</f>
        <v>324.399191</v>
      </c>
      <c r="D16" s="12" t="n">
        <f aca="false">Rover!J42</f>
        <v>14.99</v>
      </c>
      <c r="E16" s="8" t="n">
        <f aca="false">Rover!J43</f>
        <v>0.470448</v>
      </c>
      <c r="F16" s="13" t="n">
        <f aca="false">SUM(C16:E16)</f>
        <v>339.859639</v>
      </c>
      <c r="G16" s="14" t="n">
        <f aca="false">F16*(1+$C$7)</f>
        <v>390.83858485</v>
      </c>
      <c r="H16" s="13" t="n">
        <f aca="false">Rover!K45*(1+$C$7)</f>
        <v>335.97572345</v>
      </c>
    </row>
    <row r="17" customFormat="false" ht="15" hidden="false" customHeight="false" outlineLevel="0" collapsed="false">
      <c r="B17" s="4" t="s">
        <v>23</v>
      </c>
      <c r="C17" s="12" t="n">
        <f aca="false">SUM(Hexapod!J5:J35)</f>
        <v>412.57429</v>
      </c>
      <c r="D17" s="12" t="n">
        <f aca="false">Hexapod!J38</f>
        <v>14.99</v>
      </c>
      <c r="E17" s="8" t="n">
        <f aca="false">Hexapod!J39</f>
        <v>0.4504896</v>
      </c>
      <c r="F17" s="13" t="n">
        <f aca="false">SUM(C17:E17)</f>
        <v>428.0147796</v>
      </c>
      <c r="G17" s="14" t="n">
        <f aca="false">F17*(1+$C$7)</f>
        <v>492.21699654</v>
      </c>
      <c r="H17" s="13" t="n">
        <f aca="false">Hexapod!K41*(1+$C$7)</f>
        <v>388.59870754</v>
      </c>
    </row>
    <row r="18" customFormat="false" ht="15" hidden="false" customHeight="false" outlineLevel="0" collapsed="false">
      <c r="B18" s="15" t="s">
        <v>24</v>
      </c>
      <c r="C18" s="16" t="n">
        <f aca="false">SUM('All three'!G5:G76)</f>
        <v>833.96414</v>
      </c>
      <c r="D18" s="16" t="n">
        <f aca="false">'All three'!G78</f>
        <v>29.98</v>
      </c>
      <c r="E18" s="17" t="n">
        <f aca="false">'All three'!G79</f>
        <v>1.4127696</v>
      </c>
      <c r="F18" s="18" t="n">
        <f aca="false">SUM(C18:E18)</f>
        <v>865.3569096</v>
      </c>
      <c r="G18" s="18" t="n">
        <f aca="false">F18*(1+$C$7)</f>
        <v>995.16044604</v>
      </c>
      <c r="H18" s="18" t="n">
        <f aca="false">'All three'!H81*(1+$C$7)</f>
        <v>804.85893479</v>
      </c>
    </row>
    <row r="19" customFormat="false" ht="15" hidden="false" customHeight="false" outlineLevel="0" collapsed="false">
      <c r="B19" s="4" t="s">
        <v>25</v>
      </c>
      <c r="G19" s="13" t="n">
        <f aca="false">SUM(G15:G17)-G18</f>
        <v>208.32174215</v>
      </c>
    </row>
    <row r="21" customFormat="false" ht="15" hidden="false" customHeight="false" outlineLevel="0" collapsed="false">
      <c r="B21" s="3" t="s">
        <v>26</v>
      </c>
    </row>
    <row r="22" customFormat="false" ht="15" hidden="false" customHeight="false" outlineLevel="0" collapsed="false">
      <c r="A22" s="11"/>
      <c r="B22" s="11" t="s">
        <v>14</v>
      </c>
      <c r="C22" s="11" t="s">
        <v>27</v>
      </c>
      <c r="D22" s="11" t="s">
        <v>28</v>
      </c>
      <c r="E22" s="11" t="s">
        <v>17</v>
      </c>
      <c r="F22" s="11" t="s">
        <v>18</v>
      </c>
      <c r="G22" s="11" t="s">
        <v>19</v>
      </c>
      <c r="H22" s="11"/>
    </row>
    <row r="23" customFormat="false" ht="15" hidden="false" customHeight="false" outlineLevel="0" collapsed="false">
      <c r="B23" s="4" t="s">
        <v>21</v>
      </c>
      <c r="C23" s="12" t="n">
        <f aca="false">SUM(Arm!F5:F36)</f>
        <v>173.655</v>
      </c>
      <c r="D23" s="12" t="n">
        <f aca="false">Arm!F39</f>
        <v>6.26582</v>
      </c>
      <c r="E23" s="8" t="n">
        <f aca="false">Arm!F40</f>
        <v>0.491832</v>
      </c>
      <c r="F23" s="13" t="n">
        <f aca="false">SUM(C23:E23)</f>
        <v>180.412652</v>
      </c>
      <c r="G23" s="13" t="n">
        <f aca="false">F23*(1+$C$7)</f>
        <v>207.4745498</v>
      </c>
    </row>
    <row r="24" customFormat="false" ht="15" hidden="false" customHeight="false" outlineLevel="0" collapsed="false">
      <c r="B24" s="4" t="s">
        <v>22</v>
      </c>
      <c r="C24" s="12" t="n">
        <f aca="false">SUM(Rover!F5:F39)</f>
        <v>192.86527</v>
      </c>
      <c r="D24" s="12" t="n">
        <f aca="false">Rover!F42</f>
        <v>5.02165</v>
      </c>
      <c r="E24" s="8" t="n">
        <f aca="false">Rover!F43</f>
        <v>0.470448</v>
      </c>
      <c r="F24" s="13" t="n">
        <f aca="false">SUM(C24:E24)</f>
        <v>198.357368</v>
      </c>
      <c r="G24" s="13" t="n">
        <f aca="false">F24*(1+$C$7)</f>
        <v>228.1109732</v>
      </c>
    </row>
    <row r="25" customFormat="false" ht="15" hidden="false" customHeight="false" outlineLevel="0" collapsed="false">
      <c r="B25" s="4" t="s">
        <v>23</v>
      </c>
      <c r="C25" s="12" t="n">
        <f aca="false">SUM(Hexapod!F5:F35)</f>
        <v>304.947969</v>
      </c>
      <c r="D25" s="12" t="n">
        <f aca="false">Hexapod!F38</f>
        <v>5.81612</v>
      </c>
      <c r="E25" s="8" t="n">
        <f aca="false">Hexapod!F39</f>
        <v>0.4504896</v>
      </c>
      <c r="F25" s="13" t="n">
        <f aca="false">SUM(C25:E25)</f>
        <v>311.2145786</v>
      </c>
      <c r="G25" s="13" t="n">
        <f aca="false">F25*(1+$C$7)</f>
        <v>357.89676539</v>
      </c>
    </row>
    <row r="27" customFormat="false" ht="42" hidden="false" customHeight="true" outlineLevel="0" collapsed="false">
      <c r="B27" s="19" t="s">
        <v>29</v>
      </c>
      <c r="C27" s="19"/>
      <c r="D27" s="19"/>
      <c r="E27" s="19"/>
      <c r="F27" s="19"/>
      <c r="G27" s="19"/>
      <c r="H27" s="19"/>
    </row>
    <row r="28" customFormat="false" ht="42" hidden="false" customHeight="true" outlineLevel="0" collapsed="false">
      <c r="B28" s="19" t="s">
        <v>30</v>
      </c>
      <c r="C28" s="19"/>
      <c r="D28" s="19"/>
      <c r="E28" s="19"/>
      <c r="F28" s="19"/>
      <c r="G28" s="19"/>
      <c r="H28" s="19"/>
    </row>
    <row r="29" customFormat="false" ht="42" hidden="false" customHeight="true" outlineLevel="0" collapsed="false">
      <c r="B29" s="19" t="s">
        <v>31</v>
      </c>
      <c r="C29" s="19"/>
      <c r="D29" s="19"/>
      <c r="E29" s="19"/>
      <c r="F29" s="19"/>
      <c r="G29" s="19"/>
      <c r="H29" s="19"/>
    </row>
    <row r="30" customFormat="false" ht="42" hidden="false" customHeight="true" outlineLevel="0" collapsed="false">
      <c r="B30" s="19" t="s">
        <v>32</v>
      </c>
      <c r="C30" s="19"/>
      <c r="D30" s="19"/>
      <c r="E30" s="19"/>
      <c r="F30" s="19"/>
      <c r="G30" s="19"/>
      <c r="H30" s="19"/>
    </row>
    <row r="31" customFormat="false" ht="42" hidden="false" customHeight="true" outlineLevel="0" collapsed="false">
      <c r="B31" s="19" t="s">
        <v>33</v>
      </c>
      <c r="C31" s="19"/>
      <c r="D31" s="19"/>
      <c r="E31" s="19"/>
      <c r="F31" s="19"/>
      <c r="G31" s="19"/>
      <c r="H31" s="19"/>
    </row>
  </sheetData>
  <mergeCells count="6">
    <mergeCell ref="A2:H2"/>
    <mergeCell ref="B27:H27"/>
    <mergeCell ref="B28:H28"/>
    <mergeCell ref="B29:H29"/>
    <mergeCell ref="B30:H30"/>
    <mergeCell ref="B31:H3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3" min="3" style="0" width="46"/>
    <col collapsed="false" customWidth="true" hidden="false" outlineLevel="0" max="4" min="4" style="0" width="24"/>
    <col collapsed="false" customWidth="true" hidden="false" outlineLevel="0" max="5" min="5" style="0" width="8"/>
    <col collapsed="false" customWidth="true" hidden="false" outlineLevel="0" max="6" min="6" style="0" width="10"/>
    <col collapsed="false" customWidth="true" hidden="false" outlineLevel="0" max="7" min="7" style="0" width="8"/>
    <col collapsed="false" customWidth="true" hidden="false" outlineLevel="0" max="8" min="8" style="0" width="12"/>
    <col collapsed="false" customWidth="true" hidden="false" outlineLevel="0" max="9" min="9" style="0" width="11"/>
    <col collapsed="false" customWidth="true" hidden="false" outlineLevel="0" max="10" min="10" style="0" width="34"/>
    <col collapsed="false" customWidth="true" hidden="false" outlineLevel="0" max="11" min="11" style="0" width="9"/>
    <col collapsed="false" customWidth="true" hidden="false" outlineLevel="0" max="12" min="12" style="0" width="12"/>
    <col collapsed="false" customWidth="true" hidden="false" outlineLevel="0" max="13" min="13" style="0" width="11"/>
    <col collapsed="false" customWidth="true" hidden="false" outlineLevel="0" max="14" min="14" style="0" width="60"/>
    <col collapsed="false" customWidth="true" hidden="false" outlineLevel="0" max="16" min="15" style="0" width="40"/>
  </cols>
  <sheetData>
    <row r="1" customFormat="false" ht="19.7" hidden="false" customHeight="false" outlineLevel="0" collapsed="false">
      <c r="A1" s="1" t="s">
        <v>34</v>
      </c>
    </row>
    <row r="2" customFormat="false" ht="42" hidden="false" customHeight="true" outlineLevel="0" collapsed="false">
      <c r="A2" s="2" t="s">
        <v>35</v>
      </c>
      <c r="B2" s="2"/>
      <c r="C2" s="2"/>
      <c r="D2" s="2"/>
      <c r="E2" s="2"/>
      <c r="F2" s="2"/>
      <c r="G2" s="2"/>
      <c r="H2" s="2"/>
      <c r="I2" s="2"/>
      <c r="J2" s="2"/>
      <c r="K2" s="2"/>
      <c r="L2" s="2"/>
      <c r="M2" s="2"/>
      <c r="N2" s="2"/>
      <c r="O2" s="2"/>
      <c r="P2" s="2"/>
    </row>
    <row r="4" customFormat="false" ht="23.85" hidden="false" customHeight="false" outlineLevel="0" collapsed="false">
      <c r="A4" s="11" t="s">
        <v>36</v>
      </c>
      <c r="B4" s="11" t="s">
        <v>37</v>
      </c>
      <c r="C4" s="11" t="s">
        <v>38</v>
      </c>
      <c r="D4" s="11" t="s">
        <v>39</v>
      </c>
      <c r="E4" s="11" t="s">
        <v>40</v>
      </c>
      <c r="F4" s="11" t="s">
        <v>41</v>
      </c>
      <c r="G4" s="11" t="s">
        <v>42</v>
      </c>
      <c r="H4" s="11" t="s">
        <v>43</v>
      </c>
      <c r="I4" s="11" t="s">
        <v>44</v>
      </c>
      <c r="J4" s="11" t="s">
        <v>45</v>
      </c>
      <c r="K4" s="11" t="s">
        <v>46</v>
      </c>
      <c r="L4" s="11" t="s">
        <v>47</v>
      </c>
      <c r="M4" s="11" t="s">
        <v>48</v>
      </c>
      <c r="N4" s="11" t="s">
        <v>49</v>
      </c>
      <c r="O4" s="11" t="s">
        <v>50</v>
      </c>
      <c r="P4" s="11" t="s">
        <v>51</v>
      </c>
    </row>
    <row r="5" customFormat="false" ht="23.85" hidden="false" customHeight="false" outlineLevel="0" collapsed="false">
      <c r="A5" s="20" t="s">
        <v>52</v>
      </c>
      <c r="B5" s="20" t="s">
        <v>53</v>
      </c>
      <c r="C5" s="21" t="s">
        <v>54</v>
      </c>
      <c r="D5" s="21" t="s">
        <v>55</v>
      </c>
      <c r="E5" s="22" t="n">
        <v>1</v>
      </c>
      <c r="F5" s="23" t="n">
        <v>2.99</v>
      </c>
      <c r="G5" s="22" t="s">
        <v>56</v>
      </c>
      <c r="H5" s="24" t="n">
        <f aca="false">IF(G5="USD",F5*Summary!$C$8,F5)</f>
        <v>2.99</v>
      </c>
      <c r="I5" s="24" t="n">
        <f aca="false">H5/E5</f>
        <v>2.99</v>
      </c>
      <c r="J5" s="25"/>
      <c r="K5" s="26"/>
      <c r="L5" s="26"/>
      <c r="M5" s="20" t="s">
        <v>57</v>
      </c>
      <c r="N5" s="21" t="s">
        <v>58</v>
      </c>
      <c r="O5" s="27" t="s">
        <v>59</v>
      </c>
      <c r="P5" s="26"/>
    </row>
    <row r="6" customFormat="false" ht="35.05" hidden="false" customHeight="false" outlineLevel="0" collapsed="false">
      <c r="A6" s="20" t="s">
        <v>60</v>
      </c>
      <c r="B6" s="20" t="s">
        <v>61</v>
      </c>
      <c r="C6" s="21" t="s">
        <v>62</v>
      </c>
      <c r="D6" s="21" t="s">
        <v>63</v>
      </c>
      <c r="E6" s="22" t="n">
        <v>1</v>
      </c>
      <c r="F6" s="23" t="n">
        <v>249.99</v>
      </c>
      <c r="G6" s="22" t="s">
        <v>56</v>
      </c>
      <c r="H6" s="24" t="n">
        <f aca="false">IF(G6="USD",F6*Summary!$C$8,F6)</f>
        <v>249.99</v>
      </c>
      <c r="I6" s="24" t="n">
        <f aca="false">H6/E6</f>
        <v>249.99</v>
      </c>
      <c r="J6" s="25"/>
      <c r="K6" s="26"/>
      <c r="L6" s="26"/>
      <c r="M6" s="20" t="s">
        <v>57</v>
      </c>
      <c r="N6" s="21" t="s">
        <v>64</v>
      </c>
      <c r="O6" s="27" t="s">
        <v>65</v>
      </c>
      <c r="P6" s="26"/>
    </row>
    <row r="7" customFormat="false" ht="68.65" hidden="false" customHeight="false" outlineLevel="0" collapsed="false">
      <c r="A7" s="20" t="s">
        <v>66</v>
      </c>
      <c r="B7" s="20" t="s">
        <v>67</v>
      </c>
      <c r="C7" s="21" t="s">
        <v>68</v>
      </c>
      <c r="D7" s="21" t="s">
        <v>69</v>
      </c>
      <c r="E7" s="22" t="n">
        <v>1</v>
      </c>
      <c r="F7" s="23" t="n">
        <v>0.71</v>
      </c>
      <c r="G7" s="22" t="s">
        <v>56</v>
      </c>
      <c r="H7" s="24" t="n">
        <f aca="false">IF(G7="USD",F7*Summary!$C$8,F7)</f>
        <v>0.71</v>
      </c>
      <c r="I7" s="24" t="n">
        <f aca="false">H7/E7</f>
        <v>0.71</v>
      </c>
      <c r="J7" s="25"/>
      <c r="K7" s="26"/>
      <c r="L7" s="26"/>
      <c r="M7" s="20" t="s">
        <v>57</v>
      </c>
      <c r="N7" s="21" t="s">
        <v>70</v>
      </c>
      <c r="O7" s="27" t="s">
        <v>71</v>
      </c>
      <c r="P7" s="26"/>
    </row>
    <row r="8" customFormat="false" ht="35.05" hidden="false" customHeight="false" outlineLevel="0" collapsed="false">
      <c r="A8" s="20" t="s">
        <v>72</v>
      </c>
      <c r="B8" s="20" t="s">
        <v>73</v>
      </c>
      <c r="C8" s="21" t="s">
        <v>74</v>
      </c>
      <c r="D8" s="21" t="s">
        <v>69</v>
      </c>
      <c r="E8" s="22" t="n">
        <v>1</v>
      </c>
      <c r="F8" s="23" t="n">
        <v>0.71</v>
      </c>
      <c r="G8" s="22" t="s">
        <v>56</v>
      </c>
      <c r="H8" s="24" t="n">
        <f aca="false">IF(G8="USD",F8*Summary!$C$8,F8)</f>
        <v>0.71</v>
      </c>
      <c r="I8" s="24" t="n">
        <f aca="false">H8/E8</f>
        <v>0.71</v>
      </c>
      <c r="J8" s="25"/>
      <c r="K8" s="26"/>
      <c r="L8" s="26"/>
      <c r="M8" s="20" t="s">
        <v>57</v>
      </c>
      <c r="N8" s="21" t="s">
        <v>75</v>
      </c>
      <c r="O8" s="27" t="s">
        <v>76</v>
      </c>
      <c r="P8" s="26"/>
    </row>
    <row r="9" customFormat="false" ht="91" hidden="false" customHeight="false" outlineLevel="0" collapsed="false">
      <c r="A9" s="20" t="s">
        <v>77</v>
      </c>
      <c r="B9" s="20" t="s">
        <v>78</v>
      </c>
      <c r="C9" s="21" t="s">
        <v>79</v>
      </c>
      <c r="D9" s="21" t="s">
        <v>80</v>
      </c>
      <c r="E9" s="22" t="n">
        <v>1</v>
      </c>
      <c r="F9" s="23" t="n">
        <v>29.95</v>
      </c>
      <c r="G9" s="22" t="s">
        <v>56</v>
      </c>
      <c r="H9" s="24" t="n">
        <f aca="false">IF(G9="USD",F9*Summary!$C$8,F9)</f>
        <v>29.95</v>
      </c>
      <c r="I9" s="24" t="n">
        <f aca="false">H9/E9</f>
        <v>29.95</v>
      </c>
      <c r="J9" s="21" t="s">
        <v>81</v>
      </c>
      <c r="K9" s="22" t="n">
        <v>1</v>
      </c>
      <c r="L9" s="28" t="n">
        <f aca="false">7.49*Summary!$C$8</f>
        <v>10.480757</v>
      </c>
      <c r="M9" s="20" t="s">
        <v>57</v>
      </c>
      <c r="N9" s="21" t="s">
        <v>82</v>
      </c>
      <c r="O9" s="27" t="s">
        <v>83</v>
      </c>
      <c r="P9" s="27" t="s">
        <v>84</v>
      </c>
    </row>
    <row r="10" customFormat="false" ht="23.85" hidden="false" customHeight="false" outlineLevel="0" collapsed="false">
      <c r="A10" s="20" t="s">
        <v>85</v>
      </c>
      <c r="B10" s="20" t="s">
        <v>86</v>
      </c>
      <c r="C10" s="21" t="s">
        <v>87</v>
      </c>
      <c r="D10" s="21" t="s">
        <v>55</v>
      </c>
      <c r="E10" s="22" t="n">
        <v>5</v>
      </c>
      <c r="F10" s="23" t="n">
        <v>1.99</v>
      </c>
      <c r="G10" s="22" t="s">
        <v>56</v>
      </c>
      <c r="H10" s="24" t="n">
        <f aca="false">IF(G10="USD",F10*Summary!$C$8,F10)</f>
        <v>1.99</v>
      </c>
      <c r="I10" s="24" t="n">
        <f aca="false">H10/E10</f>
        <v>0.398</v>
      </c>
      <c r="J10" s="25"/>
      <c r="K10" s="26"/>
      <c r="L10" s="26"/>
      <c r="M10" s="20" t="s">
        <v>57</v>
      </c>
      <c r="N10" s="21" t="s">
        <v>88</v>
      </c>
      <c r="O10" s="27" t="s">
        <v>89</v>
      </c>
      <c r="P10" s="26"/>
    </row>
    <row r="11" customFormat="false" ht="35.05" hidden="false" customHeight="false" outlineLevel="0" collapsed="false">
      <c r="A11" s="20" t="s">
        <v>90</v>
      </c>
      <c r="B11" s="20" t="s">
        <v>91</v>
      </c>
      <c r="C11" s="21" t="s">
        <v>92</v>
      </c>
      <c r="D11" s="21" t="s">
        <v>93</v>
      </c>
      <c r="E11" s="22" t="n">
        <v>1</v>
      </c>
      <c r="F11" s="23" t="n">
        <v>14.5</v>
      </c>
      <c r="G11" s="22" t="s">
        <v>94</v>
      </c>
      <c r="H11" s="24" t="n">
        <f aca="false">IF(G11="USD",F11*Summary!$C$8,F11)</f>
        <v>20.28985</v>
      </c>
      <c r="I11" s="24" t="n">
        <f aca="false">H11/E11</f>
        <v>20.28985</v>
      </c>
      <c r="J11" s="25"/>
      <c r="K11" s="26"/>
      <c r="L11" s="26"/>
      <c r="M11" s="20" t="s">
        <v>57</v>
      </c>
      <c r="N11" s="21" t="s">
        <v>95</v>
      </c>
      <c r="O11" s="27" t="s">
        <v>96</v>
      </c>
      <c r="P11" s="26"/>
    </row>
    <row r="12" customFormat="false" ht="23.85" hidden="false" customHeight="false" outlineLevel="0" collapsed="false">
      <c r="A12" s="20" t="s">
        <v>97</v>
      </c>
      <c r="B12" s="20" t="s">
        <v>98</v>
      </c>
      <c r="C12" s="21" t="s">
        <v>99</v>
      </c>
      <c r="D12" s="21" t="s">
        <v>100</v>
      </c>
      <c r="E12" s="22" t="n">
        <v>2</v>
      </c>
      <c r="F12" s="23" t="n">
        <v>9.99</v>
      </c>
      <c r="G12" s="22" t="s">
        <v>56</v>
      </c>
      <c r="H12" s="24" t="n">
        <f aca="false">IF(G12="USD",F12*Summary!$C$8,F12)</f>
        <v>9.99</v>
      </c>
      <c r="I12" s="24" t="n">
        <f aca="false">H12/E12</f>
        <v>4.995</v>
      </c>
      <c r="J12" s="25"/>
      <c r="K12" s="26"/>
      <c r="L12" s="26"/>
      <c r="M12" s="20" t="s">
        <v>57</v>
      </c>
      <c r="N12" s="21" t="s">
        <v>101</v>
      </c>
      <c r="O12" s="27" t="s">
        <v>102</v>
      </c>
      <c r="P12" s="26"/>
    </row>
    <row r="13" customFormat="false" ht="23.85" hidden="false" customHeight="false" outlineLevel="0" collapsed="false">
      <c r="A13" s="20" t="s">
        <v>103</v>
      </c>
      <c r="B13" s="20" t="s">
        <v>104</v>
      </c>
      <c r="C13" s="21" t="s">
        <v>105</v>
      </c>
      <c r="D13" s="21" t="s">
        <v>100</v>
      </c>
      <c r="E13" s="22" t="n">
        <v>1</v>
      </c>
      <c r="F13" s="23" t="n">
        <v>9.99</v>
      </c>
      <c r="G13" s="22" t="s">
        <v>56</v>
      </c>
      <c r="H13" s="24" t="n">
        <f aca="false">IF(G13="USD",F13*Summary!$C$8,F13)</f>
        <v>9.99</v>
      </c>
      <c r="I13" s="24" t="n">
        <f aca="false">H13/E13</f>
        <v>9.99</v>
      </c>
      <c r="J13" s="25"/>
      <c r="K13" s="26"/>
      <c r="L13" s="26"/>
      <c r="M13" s="20" t="s">
        <v>57</v>
      </c>
      <c r="N13" s="21" t="s">
        <v>106</v>
      </c>
      <c r="O13" s="27" t="s">
        <v>107</v>
      </c>
      <c r="P13" s="26"/>
    </row>
    <row r="14" customFormat="false" ht="15" hidden="false" customHeight="false" outlineLevel="0" collapsed="false">
      <c r="A14" s="20" t="s">
        <v>108</v>
      </c>
      <c r="B14" s="20" t="s">
        <v>109</v>
      </c>
      <c r="C14" s="21" t="s">
        <v>110</v>
      </c>
      <c r="D14" s="21" t="s">
        <v>100</v>
      </c>
      <c r="E14" s="22" t="n">
        <v>12</v>
      </c>
      <c r="F14" s="23" t="n">
        <v>6.99</v>
      </c>
      <c r="G14" s="22" t="s">
        <v>56</v>
      </c>
      <c r="H14" s="24" t="n">
        <f aca="false">IF(G14="USD",F14*Summary!$C$8,F14)</f>
        <v>6.99</v>
      </c>
      <c r="I14" s="24" t="n">
        <f aca="false">H14/E14</f>
        <v>0.5825</v>
      </c>
      <c r="J14" s="25"/>
      <c r="K14" s="26"/>
      <c r="L14" s="26"/>
      <c r="M14" s="20" t="s">
        <v>57</v>
      </c>
      <c r="N14" s="21" t="s">
        <v>111</v>
      </c>
      <c r="O14" s="27" t="s">
        <v>112</v>
      </c>
      <c r="P14" s="26"/>
    </row>
    <row r="15" customFormat="false" ht="23.85" hidden="false" customHeight="false" outlineLevel="0" collapsed="false">
      <c r="A15" s="20" t="s">
        <v>113</v>
      </c>
      <c r="B15" s="20" t="s">
        <v>114</v>
      </c>
      <c r="C15" s="21" t="s">
        <v>115</v>
      </c>
      <c r="D15" s="21" t="s">
        <v>69</v>
      </c>
      <c r="E15" s="22" t="n">
        <v>1</v>
      </c>
      <c r="F15" s="23" t="n">
        <v>11.41</v>
      </c>
      <c r="G15" s="22" t="s">
        <v>56</v>
      </c>
      <c r="H15" s="24" t="n">
        <f aca="false">IF(G15="USD",F15*Summary!$C$8,F15)</f>
        <v>11.41</v>
      </c>
      <c r="I15" s="24" t="n">
        <f aca="false">H15/E15</f>
        <v>11.41</v>
      </c>
      <c r="J15" s="25"/>
      <c r="K15" s="26"/>
      <c r="L15" s="26"/>
      <c r="M15" s="20" t="s">
        <v>57</v>
      </c>
      <c r="N15" s="21" t="s">
        <v>116</v>
      </c>
      <c r="O15" s="27" t="s">
        <v>117</v>
      </c>
      <c r="P15" s="26"/>
    </row>
    <row r="16" customFormat="false" ht="23.85" hidden="false" customHeight="false" outlineLevel="0" collapsed="false">
      <c r="A16" s="20" t="s">
        <v>118</v>
      </c>
      <c r="B16" s="20" t="s">
        <v>119</v>
      </c>
      <c r="C16" s="21" t="s">
        <v>120</v>
      </c>
      <c r="D16" s="21" t="s">
        <v>121</v>
      </c>
      <c r="E16" s="22" t="n">
        <v>1</v>
      </c>
      <c r="F16" s="23" t="n">
        <v>1.95</v>
      </c>
      <c r="G16" s="22" t="s">
        <v>56</v>
      </c>
      <c r="H16" s="24" t="n">
        <f aca="false">IF(G16="USD",F16*Summary!$C$8,F16)</f>
        <v>1.95</v>
      </c>
      <c r="I16" s="24" t="n">
        <f aca="false">H16/E16</f>
        <v>1.95</v>
      </c>
      <c r="J16" s="25"/>
      <c r="K16" s="26"/>
      <c r="L16" s="26"/>
      <c r="M16" s="20" t="s">
        <v>57</v>
      </c>
      <c r="N16" s="21" t="s">
        <v>122</v>
      </c>
      <c r="O16" s="27" t="s">
        <v>123</v>
      </c>
      <c r="P16" s="26"/>
    </row>
    <row r="17" customFormat="false" ht="57.45" hidden="false" customHeight="false" outlineLevel="0" collapsed="false">
      <c r="A17" s="20" t="s">
        <v>124</v>
      </c>
      <c r="B17" s="20" t="s">
        <v>125</v>
      </c>
      <c r="C17" s="21" t="s">
        <v>126</v>
      </c>
      <c r="D17" s="21" t="s">
        <v>121</v>
      </c>
      <c r="E17" s="22" t="n">
        <v>1</v>
      </c>
      <c r="F17" s="23" t="n">
        <v>4.95</v>
      </c>
      <c r="G17" s="22" t="s">
        <v>56</v>
      </c>
      <c r="H17" s="24" t="n">
        <f aca="false">IF(G17="USD",F17*Summary!$C$8,F17)</f>
        <v>4.95</v>
      </c>
      <c r="I17" s="24" t="n">
        <f aca="false">H17/E17</f>
        <v>4.95</v>
      </c>
      <c r="J17" s="25"/>
      <c r="K17" s="26"/>
      <c r="L17" s="26"/>
      <c r="M17" s="20" t="s">
        <v>57</v>
      </c>
      <c r="N17" s="21" t="s">
        <v>127</v>
      </c>
      <c r="O17" s="27" t="s">
        <v>128</v>
      </c>
      <c r="P17" s="26"/>
    </row>
    <row r="18" customFormat="false" ht="46.25" hidden="false" customHeight="false" outlineLevel="0" collapsed="false">
      <c r="A18" s="20" t="s">
        <v>129</v>
      </c>
      <c r="B18" s="20" t="s">
        <v>130</v>
      </c>
      <c r="C18" s="21" t="s">
        <v>131</v>
      </c>
      <c r="D18" s="21" t="s">
        <v>121</v>
      </c>
      <c r="E18" s="22" t="n">
        <v>1</v>
      </c>
      <c r="F18" s="23" t="n">
        <v>0.95</v>
      </c>
      <c r="G18" s="22" t="s">
        <v>56</v>
      </c>
      <c r="H18" s="24" t="n">
        <f aca="false">IF(G18="USD",F18*Summary!$C$8,F18)</f>
        <v>0.95</v>
      </c>
      <c r="I18" s="24" t="n">
        <f aca="false">H18/E18</f>
        <v>0.95</v>
      </c>
      <c r="J18" s="25"/>
      <c r="K18" s="26"/>
      <c r="L18" s="26"/>
      <c r="M18" s="20" t="s">
        <v>57</v>
      </c>
      <c r="N18" s="21" t="s">
        <v>132</v>
      </c>
      <c r="O18" s="27" t="s">
        <v>133</v>
      </c>
      <c r="P18" s="26"/>
    </row>
    <row r="19" customFormat="false" ht="35.05" hidden="false" customHeight="false" outlineLevel="0" collapsed="false">
      <c r="A19" s="20" t="s">
        <v>134</v>
      </c>
      <c r="B19" s="20" t="s">
        <v>135</v>
      </c>
      <c r="C19" s="21" t="s">
        <v>136</v>
      </c>
      <c r="D19" s="21" t="s">
        <v>137</v>
      </c>
      <c r="E19" s="22" t="n">
        <v>1</v>
      </c>
      <c r="F19" s="23" t="n">
        <v>0.1584</v>
      </c>
      <c r="G19" s="22" t="s">
        <v>56</v>
      </c>
      <c r="H19" s="24" t="n">
        <f aca="false">IF(G19="USD",F19*Summary!$C$8,F19)</f>
        <v>0.1584</v>
      </c>
      <c r="I19" s="24" t="n">
        <f aca="false">H19/E19</f>
        <v>0.1584</v>
      </c>
      <c r="J19" s="25"/>
      <c r="K19" s="26"/>
      <c r="L19" s="26"/>
      <c r="M19" s="20" t="s">
        <v>57</v>
      </c>
      <c r="N19" s="21" t="s">
        <v>138</v>
      </c>
      <c r="O19" s="27" t="s">
        <v>139</v>
      </c>
      <c r="P19" s="26"/>
    </row>
    <row r="20" customFormat="false" ht="68.65" hidden="false" customHeight="false" outlineLevel="0" collapsed="false">
      <c r="A20" s="20" t="s">
        <v>140</v>
      </c>
      <c r="B20" s="20" t="s">
        <v>141</v>
      </c>
      <c r="C20" s="21" t="s">
        <v>142</v>
      </c>
      <c r="D20" s="21" t="s">
        <v>143</v>
      </c>
      <c r="E20" s="22" t="n">
        <v>1</v>
      </c>
      <c r="F20" s="23" t="n">
        <v>9.86</v>
      </c>
      <c r="G20" s="22" t="s">
        <v>56</v>
      </c>
      <c r="H20" s="24" t="n">
        <f aca="false">IF(G20="USD",F20*Summary!$C$8,F20)</f>
        <v>9.86</v>
      </c>
      <c r="I20" s="24" t="n">
        <f aca="false">H20/E20</f>
        <v>9.86</v>
      </c>
      <c r="J20" s="25"/>
      <c r="K20" s="26"/>
      <c r="L20" s="26"/>
      <c r="M20" s="20" t="s">
        <v>57</v>
      </c>
      <c r="N20" s="21" t="s">
        <v>144</v>
      </c>
      <c r="O20" s="27" t="s">
        <v>145</v>
      </c>
      <c r="P20" s="26"/>
    </row>
    <row r="21" customFormat="false" ht="23.85" hidden="false" customHeight="false" outlineLevel="0" collapsed="false">
      <c r="A21" s="20" t="s">
        <v>146</v>
      </c>
      <c r="B21" s="20" t="s">
        <v>147</v>
      </c>
      <c r="C21" s="21" t="s">
        <v>148</v>
      </c>
      <c r="D21" s="21" t="s">
        <v>149</v>
      </c>
      <c r="E21" s="22" t="n">
        <v>1</v>
      </c>
      <c r="F21" s="23" t="n">
        <v>12</v>
      </c>
      <c r="G21" s="22" t="s">
        <v>56</v>
      </c>
      <c r="H21" s="24" t="n">
        <f aca="false">IF(G21="USD",F21*Summary!$C$8,F21)</f>
        <v>12</v>
      </c>
      <c r="I21" s="24" t="n">
        <f aca="false">H21/E21</f>
        <v>12</v>
      </c>
      <c r="J21" s="25"/>
      <c r="K21" s="26"/>
      <c r="L21" s="26"/>
      <c r="M21" s="20" t="s">
        <v>150</v>
      </c>
      <c r="N21" s="21" t="s">
        <v>151</v>
      </c>
      <c r="O21" s="26"/>
      <c r="P21" s="26"/>
    </row>
    <row r="22" customFormat="false" ht="57.45" hidden="false" customHeight="false" outlineLevel="0" collapsed="false">
      <c r="A22" s="20" t="s">
        <v>152</v>
      </c>
      <c r="B22" s="20" t="s">
        <v>153</v>
      </c>
      <c r="C22" s="21" t="s">
        <v>154</v>
      </c>
      <c r="D22" s="21" t="s">
        <v>155</v>
      </c>
      <c r="E22" s="22" t="n">
        <v>2</v>
      </c>
      <c r="F22" s="23" t="n">
        <v>13.89</v>
      </c>
      <c r="G22" s="22" t="s">
        <v>56</v>
      </c>
      <c r="H22" s="24" t="n">
        <f aca="false">IF(G22="USD",F22*Summary!$C$8,F22)</f>
        <v>13.89</v>
      </c>
      <c r="I22" s="24" t="n">
        <f aca="false">H22/E22</f>
        <v>6.945</v>
      </c>
      <c r="J22" s="25"/>
      <c r="K22" s="26"/>
      <c r="L22" s="26"/>
      <c r="M22" s="20" t="s">
        <v>57</v>
      </c>
      <c r="N22" s="21" t="s">
        <v>156</v>
      </c>
      <c r="O22" s="27" t="s">
        <v>157</v>
      </c>
      <c r="P22" s="26"/>
    </row>
    <row r="23" customFormat="false" ht="23.85" hidden="false" customHeight="false" outlineLevel="0" collapsed="false">
      <c r="A23" s="20" t="s">
        <v>158</v>
      </c>
      <c r="B23" s="20" t="s">
        <v>158</v>
      </c>
      <c r="C23" s="21" t="s">
        <v>159</v>
      </c>
      <c r="D23" s="21" t="s">
        <v>160</v>
      </c>
      <c r="E23" s="22" t="n">
        <v>1</v>
      </c>
      <c r="F23" s="23" t="n">
        <v>1.4004</v>
      </c>
      <c r="G23" s="22" t="s">
        <v>56</v>
      </c>
      <c r="H23" s="24" t="n">
        <f aca="false">IF(G23="USD",F23*Summary!$C$8,F23)</f>
        <v>1.4004</v>
      </c>
      <c r="I23" s="24" t="n">
        <f aca="false">H23/E23</f>
        <v>1.4004</v>
      </c>
      <c r="J23" s="25"/>
      <c r="K23" s="26"/>
      <c r="L23" s="26"/>
      <c r="M23" s="20" t="s">
        <v>57</v>
      </c>
      <c r="N23" s="21" t="s">
        <v>161</v>
      </c>
      <c r="O23" s="27" t="s">
        <v>162</v>
      </c>
      <c r="P23" s="26"/>
    </row>
    <row r="24" customFormat="false" ht="15" hidden="false" customHeight="false" outlineLevel="0" collapsed="false">
      <c r="A24" s="20" t="s">
        <v>163</v>
      </c>
      <c r="B24" s="20" t="s">
        <v>164</v>
      </c>
      <c r="C24" s="21" t="s">
        <v>165</v>
      </c>
      <c r="D24" s="21" t="s">
        <v>166</v>
      </c>
      <c r="E24" s="22" t="n">
        <v>1</v>
      </c>
      <c r="F24" s="23" t="n">
        <v>4.93</v>
      </c>
      <c r="G24" s="22" t="s">
        <v>56</v>
      </c>
      <c r="H24" s="24" t="n">
        <f aca="false">IF(G24="USD",F24*Summary!$C$8,F24)</f>
        <v>4.93</v>
      </c>
      <c r="I24" s="24" t="n">
        <f aca="false">H24/E24</f>
        <v>4.93</v>
      </c>
      <c r="J24" s="25"/>
      <c r="K24" s="26"/>
      <c r="L24" s="26"/>
      <c r="M24" s="20" t="s">
        <v>57</v>
      </c>
      <c r="N24" s="21" t="s">
        <v>167</v>
      </c>
      <c r="O24" s="27" t="s">
        <v>168</v>
      </c>
      <c r="P24" s="26"/>
    </row>
    <row r="25" customFormat="false" ht="23.85" hidden="false" customHeight="false" outlineLevel="0" collapsed="false">
      <c r="A25" s="20" t="s">
        <v>169</v>
      </c>
      <c r="B25" s="20" t="s">
        <v>170</v>
      </c>
      <c r="C25" s="21" t="s">
        <v>171</v>
      </c>
      <c r="D25" s="21" t="s">
        <v>69</v>
      </c>
      <c r="E25" s="22" t="n">
        <v>1</v>
      </c>
      <c r="F25" s="23" t="n">
        <v>12.84</v>
      </c>
      <c r="G25" s="22" t="s">
        <v>56</v>
      </c>
      <c r="H25" s="24" t="n">
        <f aca="false">IF(G25="USD",F25*Summary!$C$8,F25)</f>
        <v>12.84</v>
      </c>
      <c r="I25" s="24" t="n">
        <f aca="false">H25/E25</f>
        <v>12.84</v>
      </c>
      <c r="J25" s="25"/>
      <c r="K25" s="26"/>
      <c r="L25" s="26"/>
      <c r="M25" s="20" t="s">
        <v>57</v>
      </c>
      <c r="N25" s="21" t="s">
        <v>172</v>
      </c>
      <c r="O25" s="27" t="s">
        <v>173</v>
      </c>
      <c r="P25" s="26"/>
    </row>
    <row r="26" customFormat="false" ht="46.25" hidden="false" customHeight="false" outlineLevel="0" collapsed="false">
      <c r="A26" s="20" t="s">
        <v>174</v>
      </c>
      <c r="B26" s="20" t="s">
        <v>175</v>
      </c>
      <c r="C26" s="21" t="s">
        <v>176</v>
      </c>
      <c r="D26" s="21" t="s">
        <v>121</v>
      </c>
      <c r="E26" s="22" t="n">
        <v>1</v>
      </c>
      <c r="F26" s="23" t="n">
        <v>1.95</v>
      </c>
      <c r="G26" s="22" t="s">
        <v>56</v>
      </c>
      <c r="H26" s="24" t="n">
        <f aca="false">IF(G26="USD",F26*Summary!$C$8,F26)</f>
        <v>1.95</v>
      </c>
      <c r="I26" s="24" t="n">
        <f aca="false">H26/E26</f>
        <v>1.95</v>
      </c>
      <c r="J26" s="25"/>
      <c r="K26" s="26"/>
      <c r="L26" s="26"/>
      <c r="M26" s="20" t="s">
        <v>57</v>
      </c>
      <c r="N26" s="21" t="s">
        <v>177</v>
      </c>
      <c r="O26" s="27" t="s">
        <v>178</v>
      </c>
      <c r="P26" s="26"/>
    </row>
    <row r="27" customFormat="false" ht="23.85" hidden="false" customHeight="false" outlineLevel="0" collapsed="false">
      <c r="A27" s="20" t="s">
        <v>179</v>
      </c>
      <c r="B27" s="20" t="s">
        <v>180</v>
      </c>
      <c r="C27" s="21" t="s">
        <v>181</v>
      </c>
      <c r="D27" s="21" t="s">
        <v>55</v>
      </c>
      <c r="E27" s="22" t="n">
        <v>2</v>
      </c>
      <c r="F27" s="23" t="n">
        <v>7.69</v>
      </c>
      <c r="G27" s="22" t="s">
        <v>56</v>
      </c>
      <c r="H27" s="24" t="n">
        <f aca="false">IF(G27="USD",F27*Summary!$C$8,F27)</f>
        <v>7.69</v>
      </c>
      <c r="I27" s="24" t="n">
        <f aca="false">H27/E27</f>
        <v>3.845</v>
      </c>
      <c r="J27" s="25"/>
      <c r="K27" s="26"/>
      <c r="L27" s="26"/>
      <c r="M27" s="20" t="s">
        <v>57</v>
      </c>
      <c r="N27" s="21" t="s">
        <v>182</v>
      </c>
      <c r="O27" s="27" t="s">
        <v>183</v>
      </c>
      <c r="P27" s="26"/>
    </row>
    <row r="28" customFormat="false" ht="35.05" hidden="false" customHeight="false" outlineLevel="0" collapsed="false">
      <c r="A28" s="20" t="s">
        <v>184</v>
      </c>
      <c r="B28" s="20" t="s">
        <v>185</v>
      </c>
      <c r="C28" s="21" t="s">
        <v>186</v>
      </c>
      <c r="D28" s="21" t="s">
        <v>187</v>
      </c>
      <c r="E28" s="22" t="n">
        <v>1</v>
      </c>
      <c r="F28" s="23" t="n">
        <v>0.15</v>
      </c>
      <c r="G28" s="22" t="s">
        <v>56</v>
      </c>
      <c r="H28" s="24" t="n">
        <f aca="false">IF(G28="USD",F28*Summary!$C$8,F28)</f>
        <v>0.15</v>
      </c>
      <c r="I28" s="24" t="n">
        <f aca="false">H28/E28</f>
        <v>0.15</v>
      </c>
      <c r="J28" s="25"/>
      <c r="K28" s="26"/>
      <c r="L28" s="26"/>
      <c r="M28" s="20" t="s">
        <v>57</v>
      </c>
      <c r="N28" s="21" t="s">
        <v>188</v>
      </c>
      <c r="O28" s="27" t="s">
        <v>189</v>
      </c>
      <c r="P28" s="26"/>
    </row>
    <row r="29" customFormat="false" ht="15" hidden="false" customHeight="false" outlineLevel="0" collapsed="false">
      <c r="A29" s="20" t="s">
        <v>190</v>
      </c>
      <c r="B29" s="20" t="s">
        <v>191</v>
      </c>
      <c r="C29" s="21" t="s">
        <v>192</v>
      </c>
      <c r="D29" s="21" t="s">
        <v>69</v>
      </c>
      <c r="E29" s="22" t="n">
        <v>40</v>
      </c>
      <c r="F29" s="23" t="n">
        <v>5.7</v>
      </c>
      <c r="G29" s="22" t="s">
        <v>56</v>
      </c>
      <c r="H29" s="24" t="n">
        <f aca="false">IF(G29="USD",F29*Summary!$C$8,F29)</f>
        <v>5.7</v>
      </c>
      <c r="I29" s="24" t="n">
        <f aca="false">H29/E29</f>
        <v>0.1425</v>
      </c>
      <c r="J29" s="25"/>
      <c r="K29" s="26"/>
      <c r="L29" s="26"/>
      <c r="M29" s="20" t="s">
        <v>57</v>
      </c>
      <c r="N29" s="21" t="s">
        <v>193</v>
      </c>
      <c r="O29" s="27" t="s">
        <v>194</v>
      </c>
      <c r="P29" s="26"/>
    </row>
    <row r="30" customFormat="false" ht="15" hidden="false" customHeight="false" outlineLevel="0" collapsed="false">
      <c r="A30" s="20" t="s">
        <v>195</v>
      </c>
      <c r="B30" s="20" t="s">
        <v>196</v>
      </c>
      <c r="C30" s="21" t="s">
        <v>197</v>
      </c>
      <c r="D30" s="21" t="s">
        <v>69</v>
      </c>
      <c r="E30" s="22" t="n">
        <v>40</v>
      </c>
      <c r="F30" s="23" t="n">
        <v>5.7</v>
      </c>
      <c r="G30" s="22" t="s">
        <v>56</v>
      </c>
      <c r="H30" s="24" t="n">
        <f aca="false">IF(G30="USD",F30*Summary!$C$8,F30)</f>
        <v>5.7</v>
      </c>
      <c r="I30" s="24" t="n">
        <f aca="false">H30/E30</f>
        <v>0.1425</v>
      </c>
      <c r="J30" s="25"/>
      <c r="K30" s="26"/>
      <c r="L30" s="26"/>
      <c r="M30" s="20" t="s">
        <v>57</v>
      </c>
      <c r="N30" s="21" t="s">
        <v>198</v>
      </c>
      <c r="O30" s="27" t="s">
        <v>199</v>
      </c>
      <c r="P30" s="26"/>
    </row>
    <row r="31" customFormat="false" ht="23.85" hidden="false" customHeight="false" outlineLevel="0" collapsed="false">
      <c r="A31" s="20" t="s">
        <v>200</v>
      </c>
      <c r="B31" s="20" t="s">
        <v>201</v>
      </c>
      <c r="C31" s="21" t="s">
        <v>202</v>
      </c>
      <c r="D31" s="21" t="s">
        <v>69</v>
      </c>
      <c r="E31" s="22" t="n">
        <v>40</v>
      </c>
      <c r="F31" s="23" t="n">
        <v>5.7</v>
      </c>
      <c r="G31" s="22" t="s">
        <v>56</v>
      </c>
      <c r="H31" s="24" t="n">
        <f aca="false">IF(G31="USD",F31*Summary!$C$8,F31)</f>
        <v>5.7</v>
      </c>
      <c r="I31" s="24" t="n">
        <f aca="false">H31/E31</f>
        <v>0.1425</v>
      </c>
      <c r="J31" s="25"/>
      <c r="K31" s="26"/>
      <c r="L31" s="26"/>
      <c r="M31" s="20" t="s">
        <v>57</v>
      </c>
      <c r="N31" s="21" t="s">
        <v>203</v>
      </c>
      <c r="O31" s="27" t="s">
        <v>204</v>
      </c>
      <c r="P31" s="26"/>
    </row>
    <row r="32" customFormat="false" ht="79.85" hidden="false" customHeight="false" outlineLevel="0" collapsed="false">
      <c r="A32" s="20" t="s">
        <v>205</v>
      </c>
      <c r="B32" s="20" t="s">
        <v>206</v>
      </c>
      <c r="C32" s="21" t="s">
        <v>207</v>
      </c>
      <c r="D32" s="21" t="s">
        <v>208</v>
      </c>
      <c r="E32" s="22" t="n">
        <v>1</v>
      </c>
      <c r="F32" s="23" t="n">
        <v>11.41</v>
      </c>
      <c r="G32" s="22" t="s">
        <v>94</v>
      </c>
      <c r="H32" s="24" t="n">
        <f aca="false">IF(G32="USD",F32*Summary!$C$8,F32)</f>
        <v>15.966013</v>
      </c>
      <c r="I32" s="24" t="n">
        <f aca="false">H32/E32</f>
        <v>15.966013</v>
      </c>
      <c r="J32" s="25"/>
      <c r="K32" s="26"/>
      <c r="L32" s="26"/>
      <c r="M32" s="20" t="s">
        <v>209</v>
      </c>
      <c r="N32" s="21" t="s">
        <v>210</v>
      </c>
      <c r="O32" s="27" t="s">
        <v>211</v>
      </c>
      <c r="P32" s="26"/>
    </row>
    <row r="33" customFormat="false" ht="23.85" hidden="false" customHeight="false" outlineLevel="0" collapsed="false">
      <c r="A33" s="20" t="s">
        <v>212</v>
      </c>
      <c r="B33" s="20" t="s">
        <v>213</v>
      </c>
      <c r="C33" s="21" t="s">
        <v>214</v>
      </c>
      <c r="D33" s="21" t="s">
        <v>208</v>
      </c>
      <c r="E33" s="22" t="n">
        <v>1</v>
      </c>
      <c r="F33" s="23" t="n">
        <v>3.85</v>
      </c>
      <c r="G33" s="22" t="s">
        <v>94</v>
      </c>
      <c r="H33" s="24" t="n">
        <f aca="false">IF(G33="USD",F33*Summary!$C$8,F33)</f>
        <v>5.387305</v>
      </c>
      <c r="I33" s="24" t="n">
        <f aca="false">H33/E33</f>
        <v>5.387305</v>
      </c>
      <c r="J33" s="25"/>
      <c r="K33" s="26"/>
      <c r="L33" s="26"/>
      <c r="M33" s="20" t="s">
        <v>57</v>
      </c>
      <c r="N33" s="21" t="s">
        <v>215</v>
      </c>
      <c r="O33" s="27" t="s">
        <v>216</v>
      </c>
      <c r="P33" s="26"/>
    </row>
    <row r="34" customFormat="false" ht="35.05" hidden="false" customHeight="false" outlineLevel="0" collapsed="false">
      <c r="A34" s="20" t="s">
        <v>217</v>
      </c>
      <c r="B34" s="20" t="s">
        <v>218</v>
      </c>
      <c r="C34" s="21" t="s">
        <v>219</v>
      </c>
      <c r="D34" s="21" t="s">
        <v>208</v>
      </c>
      <c r="E34" s="22" t="n">
        <v>1</v>
      </c>
      <c r="F34" s="23" t="n">
        <v>10.7</v>
      </c>
      <c r="G34" s="22" t="s">
        <v>94</v>
      </c>
      <c r="H34" s="24" t="n">
        <f aca="false">IF(G34="USD",F34*Summary!$C$8,F34)</f>
        <v>14.97251</v>
      </c>
      <c r="I34" s="24" t="n">
        <f aca="false">H34/E34</f>
        <v>14.97251</v>
      </c>
      <c r="J34" s="25"/>
      <c r="K34" s="26"/>
      <c r="L34" s="26"/>
      <c r="M34" s="20" t="s">
        <v>57</v>
      </c>
      <c r="N34" s="21" t="s">
        <v>220</v>
      </c>
      <c r="O34" s="27" t="s">
        <v>221</v>
      </c>
      <c r="P34" s="26"/>
    </row>
    <row r="35" customFormat="false" ht="46.25" hidden="false" customHeight="false" outlineLevel="0" collapsed="false">
      <c r="A35" s="20" t="s">
        <v>222</v>
      </c>
      <c r="B35" s="20" t="s">
        <v>223</v>
      </c>
      <c r="C35" s="21" t="s">
        <v>224</v>
      </c>
      <c r="D35" s="21" t="s">
        <v>166</v>
      </c>
      <c r="E35" s="22" t="n">
        <v>1</v>
      </c>
      <c r="F35" s="23" t="n">
        <v>28.57</v>
      </c>
      <c r="G35" s="22" t="s">
        <v>56</v>
      </c>
      <c r="H35" s="24" t="n">
        <f aca="false">IF(G35="USD",F35*Summary!$C$8,F35)</f>
        <v>28.57</v>
      </c>
      <c r="I35" s="24" t="n">
        <f aca="false">H35/E35</f>
        <v>28.57</v>
      </c>
      <c r="J35" s="25"/>
      <c r="K35" s="26"/>
      <c r="L35" s="26"/>
      <c r="M35" s="20" t="s">
        <v>57</v>
      </c>
      <c r="N35" s="21" t="s">
        <v>225</v>
      </c>
      <c r="O35" s="27" t="s">
        <v>226</v>
      </c>
      <c r="P35" s="26"/>
    </row>
    <row r="36" customFormat="false" ht="68.65" hidden="false" customHeight="false" outlineLevel="0" collapsed="false">
      <c r="A36" s="20" t="s">
        <v>227</v>
      </c>
      <c r="B36" s="20" t="s">
        <v>228</v>
      </c>
      <c r="C36" s="21" t="s">
        <v>229</v>
      </c>
      <c r="D36" s="21" t="s">
        <v>230</v>
      </c>
      <c r="E36" s="22" t="n">
        <v>50</v>
      </c>
      <c r="F36" s="23" t="n">
        <v>38.06</v>
      </c>
      <c r="G36" s="22" t="s">
        <v>56</v>
      </c>
      <c r="H36" s="24" t="n">
        <f aca="false">IF(G36="USD",F36*Summary!$C$8,F36)</f>
        <v>38.06</v>
      </c>
      <c r="I36" s="24" t="n">
        <f aca="false">H36/E36</f>
        <v>0.7612</v>
      </c>
      <c r="J36" s="21" t="s">
        <v>231</v>
      </c>
      <c r="K36" s="22" t="n">
        <v>100</v>
      </c>
      <c r="L36" s="28" t="n">
        <v>7</v>
      </c>
      <c r="M36" s="20" t="s">
        <v>57</v>
      </c>
      <c r="N36" s="21" t="s">
        <v>232</v>
      </c>
      <c r="O36" s="27" t="s">
        <v>233</v>
      </c>
      <c r="P36" s="26"/>
    </row>
    <row r="37" customFormat="false" ht="23.85" hidden="false" customHeight="false" outlineLevel="0" collapsed="false">
      <c r="A37" s="20" t="s">
        <v>234</v>
      </c>
      <c r="B37" s="20" t="s">
        <v>235</v>
      </c>
      <c r="C37" s="21" t="s">
        <v>236</v>
      </c>
      <c r="D37" s="21" t="s">
        <v>55</v>
      </c>
      <c r="E37" s="22" t="n">
        <v>10</v>
      </c>
      <c r="F37" s="23" t="n">
        <v>1.49</v>
      </c>
      <c r="G37" s="22" t="s">
        <v>56</v>
      </c>
      <c r="H37" s="24" t="n">
        <f aca="false">IF(G37="USD",F37*Summary!$C$8,F37)</f>
        <v>1.49</v>
      </c>
      <c r="I37" s="24" t="n">
        <f aca="false">H37/E37</f>
        <v>0.149</v>
      </c>
      <c r="J37" s="25"/>
      <c r="K37" s="26"/>
      <c r="L37" s="26"/>
      <c r="M37" s="20" t="s">
        <v>57</v>
      </c>
      <c r="N37" s="21" t="s">
        <v>237</v>
      </c>
      <c r="O37" s="27" t="s">
        <v>238</v>
      </c>
      <c r="P37" s="26"/>
    </row>
    <row r="38" customFormat="false" ht="57.45" hidden="false" customHeight="false" outlineLevel="0" collapsed="false">
      <c r="A38" s="20" t="s">
        <v>239</v>
      </c>
      <c r="B38" s="20" t="s">
        <v>240</v>
      </c>
      <c r="C38" s="21" t="s">
        <v>241</v>
      </c>
      <c r="D38" s="21" t="s">
        <v>121</v>
      </c>
      <c r="E38" s="22" t="n">
        <v>20</v>
      </c>
      <c r="F38" s="23" t="n">
        <v>2.95</v>
      </c>
      <c r="G38" s="22" t="s">
        <v>56</v>
      </c>
      <c r="H38" s="24" t="n">
        <f aca="false">IF(G38="USD",F38*Summary!$C$8,F38)</f>
        <v>2.95</v>
      </c>
      <c r="I38" s="24" t="n">
        <f aca="false">H38/E38</f>
        <v>0.1475</v>
      </c>
      <c r="J38" s="25"/>
      <c r="K38" s="26"/>
      <c r="L38" s="26"/>
      <c r="M38" s="20" t="s">
        <v>57</v>
      </c>
      <c r="N38" s="21" t="s">
        <v>242</v>
      </c>
      <c r="O38" s="27" t="s">
        <v>243</v>
      </c>
      <c r="P38" s="26"/>
    </row>
    <row r="39" customFormat="false" ht="23.85" hidden="false" customHeight="false" outlineLevel="0" collapsed="false">
      <c r="A39" s="20" t="s">
        <v>244</v>
      </c>
      <c r="B39" s="20" t="s">
        <v>245</v>
      </c>
      <c r="C39" s="21" t="s">
        <v>246</v>
      </c>
      <c r="D39" s="21" t="s">
        <v>187</v>
      </c>
      <c r="E39" s="22" t="n">
        <v>1</v>
      </c>
      <c r="F39" s="23" t="n">
        <v>0.35</v>
      </c>
      <c r="G39" s="22" t="s">
        <v>56</v>
      </c>
      <c r="H39" s="24" t="n">
        <f aca="false">IF(G39="USD",F39*Summary!$C$8,F39)</f>
        <v>0.35</v>
      </c>
      <c r="I39" s="24" t="n">
        <f aca="false">H39/E39</f>
        <v>0.35</v>
      </c>
      <c r="J39" s="25"/>
      <c r="K39" s="26"/>
      <c r="L39" s="26"/>
      <c r="M39" s="20" t="s">
        <v>57</v>
      </c>
      <c r="N39" s="21" t="s">
        <v>247</v>
      </c>
      <c r="O39" s="27" t="s">
        <v>248</v>
      </c>
      <c r="P39" s="26"/>
    </row>
    <row r="40" customFormat="false" ht="46.25" hidden="false" customHeight="false" outlineLevel="0" collapsed="false">
      <c r="A40" s="20" t="s">
        <v>249</v>
      </c>
      <c r="B40" s="20" t="s">
        <v>250</v>
      </c>
      <c r="C40" s="21" t="s">
        <v>251</v>
      </c>
      <c r="D40" s="21" t="s">
        <v>166</v>
      </c>
      <c r="E40" s="22" t="n">
        <v>10</v>
      </c>
      <c r="F40" s="23" t="n">
        <v>0.95</v>
      </c>
      <c r="G40" s="22" t="s">
        <v>56</v>
      </c>
      <c r="H40" s="24" t="n">
        <f aca="false">IF(G40="USD",F40*Summary!$C$8,F40)</f>
        <v>0.95</v>
      </c>
      <c r="I40" s="24" t="n">
        <f aca="false">H40/E40</f>
        <v>0.095</v>
      </c>
      <c r="J40" s="21" t="s">
        <v>252</v>
      </c>
      <c r="K40" s="22" t="n">
        <v>100</v>
      </c>
      <c r="L40" s="28" t="n">
        <v>4</v>
      </c>
      <c r="M40" s="20" t="s">
        <v>209</v>
      </c>
      <c r="N40" s="21" t="s">
        <v>253</v>
      </c>
      <c r="O40" s="27" t="s">
        <v>254</v>
      </c>
      <c r="P40" s="26"/>
    </row>
    <row r="41" customFormat="false" ht="23.85" hidden="false" customHeight="false" outlineLevel="0" collapsed="false">
      <c r="A41" s="20" t="s">
        <v>255</v>
      </c>
      <c r="B41" s="20" t="s">
        <v>256</v>
      </c>
      <c r="C41" s="21" t="s">
        <v>257</v>
      </c>
      <c r="D41" s="21" t="s">
        <v>258</v>
      </c>
      <c r="E41" s="22" t="n">
        <v>10</v>
      </c>
      <c r="F41" s="23" t="n">
        <v>11</v>
      </c>
      <c r="G41" s="22" t="s">
        <v>56</v>
      </c>
      <c r="H41" s="24" t="n">
        <f aca="false">IF(G41="USD",F41*Summary!$C$8,F41)</f>
        <v>11</v>
      </c>
      <c r="I41" s="24" t="n">
        <f aca="false">H41/E41</f>
        <v>1.1</v>
      </c>
      <c r="J41" s="25"/>
      <c r="K41" s="26"/>
      <c r="L41" s="26"/>
      <c r="M41" s="20" t="s">
        <v>150</v>
      </c>
      <c r="N41" s="21" t="s">
        <v>259</v>
      </c>
      <c r="O41" s="27" t="s">
        <v>260</v>
      </c>
      <c r="P41" s="26"/>
    </row>
    <row r="42" customFormat="false" ht="23.85" hidden="false" customHeight="false" outlineLevel="0" collapsed="false">
      <c r="A42" s="20" t="s">
        <v>261</v>
      </c>
      <c r="B42" s="20" t="s">
        <v>262</v>
      </c>
      <c r="C42" s="21" t="s">
        <v>263</v>
      </c>
      <c r="D42" s="21" t="s">
        <v>258</v>
      </c>
      <c r="E42" s="22" t="n">
        <v>10</v>
      </c>
      <c r="F42" s="23" t="n">
        <v>12</v>
      </c>
      <c r="G42" s="22" t="s">
        <v>56</v>
      </c>
      <c r="H42" s="24" t="n">
        <f aca="false">IF(G42="USD",F42*Summary!$C$8,F42)</f>
        <v>12</v>
      </c>
      <c r="I42" s="24" t="n">
        <f aca="false">H42/E42</f>
        <v>1.2</v>
      </c>
      <c r="J42" s="25"/>
      <c r="K42" s="26"/>
      <c r="L42" s="26"/>
      <c r="M42" s="20" t="s">
        <v>150</v>
      </c>
      <c r="N42" s="21" t="s">
        <v>264</v>
      </c>
      <c r="O42" s="27" t="s">
        <v>260</v>
      </c>
      <c r="P42" s="26"/>
    </row>
    <row r="43" customFormat="false" ht="68.65" hidden="false" customHeight="false" outlineLevel="0" collapsed="false">
      <c r="A43" s="20" t="s">
        <v>265</v>
      </c>
      <c r="B43" s="20" t="s">
        <v>266</v>
      </c>
      <c r="C43" s="21" t="s">
        <v>267</v>
      </c>
      <c r="D43" s="21" t="s">
        <v>268</v>
      </c>
      <c r="E43" s="22" t="n">
        <v>1</v>
      </c>
      <c r="F43" s="23" t="n">
        <v>0.3</v>
      </c>
      <c r="G43" s="22" t="s">
        <v>56</v>
      </c>
      <c r="H43" s="24" t="n">
        <f aca="false">IF(G43="USD",F43*Summary!$C$8,F43)</f>
        <v>0.3</v>
      </c>
      <c r="I43" s="24" t="n">
        <f aca="false">H43/E43</f>
        <v>0.3</v>
      </c>
      <c r="J43" s="21" t="s">
        <v>269</v>
      </c>
      <c r="K43" s="22" t="n">
        <v>50</v>
      </c>
      <c r="L43" s="28" t="n">
        <v>3</v>
      </c>
      <c r="M43" s="20" t="s">
        <v>57</v>
      </c>
      <c r="N43" s="21" t="s">
        <v>270</v>
      </c>
      <c r="O43" s="27" t="s">
        <v>271</v>
      </c>
      <c r="P43" s="26"/>
    </row>
    <row r="44" customFormat="false" ht="23.85" hidden="false" customHeight="false" outlineLevel="0" collapsed="false">
      <c r="A44" s="20" t="s">
        <v>272</v>
      </c>
      <c r="B44" s="20" t="s">
        <v>273</v>
      </c>
      <c r="C44" s="21" t="s">
        <v>274</v>
      </c>
      <c r="D44" s="21" t="s">
        <v>69</v>
      </c>
      <c r="E44" s="22" t="n">
        <v>10</v>
      </c>
      <c r="F44" s="23" t="n">
        <v>0.95</v>
      </c>
      <c r="G44" s="22" t="s">
        <v>56</v>
      </c>
      <c r="H44" s="24" t="n">
        <f aca="false">IF(G44="USD",F44*Summary!$C$8,F44)</f>
        <v>0.95</v>
      </c>
      <c r="I44" s="24" t="n">
        <f aca="false">H44/E44</f>
        <v>0.095</v>
      </c>
      <c r="J44" s="25"/>
      <c r="K44" s="26"/>
      <c r="L44" s="26"/>
      <c r="M44" s="20" t="s">
        <v>57</v>
      </c>
      <c r="N44" s="21" t="s">
        <v>275</v>
      </c>
      <c r="O44" s="27" t="s">
        <v>276</v>
      </c>
      <c r="P44" s="26"/>
    </row>
    <row r="45" customFormat="false" ht="46.25" hidden="false" customHeight="false" outlineLevel="0" collapsed="false">
      <c r="A45" s="20" t="s">
        <v>277</v>
      </c>
      <c r="B45" s="20" t="s">
        <v>278</v>
      </c>
      <c r="C45" s="21" t="s">
        <v>279</v>
      </c>
      <c r="D45" s="21" t="s">
        <v>187</v>
      </c>
      <c r="E45" s="22" t="n">
        <v>1</v>
      </c>
      <c r="F45" s="23" t="n">
        <v>0.15</v>
      </c>
      <c r="G45" s="22" t="s">
        <v>56</v>
      </c>
      <c r="H45" s="24" t="n">
        <f aca="false">IF(G45="USD",F45*Summary!$C$8,F45)</f>
        <v>0.15</v>
      </c>
      <c r="I45" s="24" t="n">
        <f aca="false">H45/E45</f>
        <v>0.15</v>
      </c>
      <c r="J45" s="25"/>
      <c r="K45" s="26"/>
      <c r="L45" s="26"/>
      <c r="M45" s="20" t="s">
        <v>209</v>
      </c>
      <c r="N45" s="21" t="s">
        <v>280</v>
      </c>
      <c r="O45" s="27" t="s">
        <v>281</v>
      </c>
      <c r="P45" s="26"/>
    </row>
    <row r="46" customFormat="false" ht="79.85" hidden="false" customHeight="false" outlineLevel="0" collapsed="false">
      <c r="A46" s="20" t="s">
        <v>282</v>
      </c>
      <c r="B46" s="20" t="s">
        <v>283</v>
      </c>
      <c r="C46" s="21" t="s">
        <v>284</v>
      </c>
      <c r="D46" s="21" t="s">
        <v>187</v>
      </c>
      <c r="E46" s="22" t="n">
        <v>1</v>
      </c>
      <c r="F46" s="23" t="n">
        <v>24</v>
      </c>
      <c r="G46" s="22" t="s">
        <v>56</v>
      </c>
      <c r="H46" s="24" t="n">
        <f aca="false">IF(G46="USD",F46*Summary!$C$8,F46)</f>
        <v>24</v>
      </c>
      <c r="I46" s="24" t="n">
        <f aca="false">H46/E46</f>
        <v>24</v>
      </c>
      <c r="J46" s="25"/>
      <c r="K46" s="26"/>
      <c r="L46" s="26"/>
      <c r="M46" s="20" t="s">
        <v>209</v>
      </c>
      <c r="N46" s="21" t="s">
        <v>285</v>
      </c>
      <c r="O46" s="27" t="s">
        <v>286</v>
      </c>
      <c r="P46" s="26"/>
    </row>
    <row r="47" customFormat="false" ht="46.25" hidden="false" customHeight="false" outlineLevel="0" collapsed="false">
      <c r="A47" s="20" t="s">
        <v>287</v>
      </c>
      <c r="B47" s="20" t="s">
        <v>288</v>
      </c>
      <c r="C47" s="21" t="s">
        <v>289</v>
      </c>
      <c r="D47" s="21" t="s">
        <v>166</v>
      </c>
      <c r="E47" s="22" t="n">
        <v>10</v>
      </c>
      <c r="F47" s="23" t="n">
        <v>0.95</v>
      </c>
      <c r="G47" s="22" t="s">
        <v>56</v>
      </c>
      <c r="H47" s="24" t="n">
        <f aca="false">IF(G47="USD",F47*Summary!$C$8,F47)</f>
        <v>0.95</v>
      </c>
      <c r="I47" s="24" t="n">
        <f aca="false">H47/E47</f>
        <v>0.095</v>
      </c>
      <c r="J47" s="25"/>
      <c r="K47" s="26"/>
      <c r="L47" s="26"/>
      <c r="M47" s="20" t="s">
        <v>209</v>
      </c>
      <c r="N47" s="21" t="s">
        <v>290</v>
      </c>
      <c r="O47" s="27" t="s">
        <v>291</v>
      </c>
      <c r="P47" s="26"/>
    </row>
    <row r="48" customFormat="false" ht="57.45" hidden="false" customHeight="false" outlineLevel="0" collapsed="false">
      <c r="A48" s="20" t="s">
        <v>292</v>
      </c>
      <c r="B48" s="20" t="s">
        <v>293</v>
      </c>
      <c r="C48" s="21" t="s">
        <v>294</v>
      </c>
      <c r="D48" s="21" t="s">
        <v>121</v>
      </c>
      <c r="E48" s="22" t="n">
        <v>40</v>
      </c>
      <c r="F48" s="23" t="n">
        <v>1.95</v>
      </c>
      <c r="G48" s="22" t="s">
        <v>56</v>
      </c>
      <c r="H48" s="24" t="n">
        <f aca="false">IF(G48="USD",F48*Summary!$C$8,F48)</f>
        <v>1.95</v>
      </c>
      <c r="I48" s="24" t="n">
        <f aca="false">H48/E48</f>
        <v>0.04875</v>
      </c>
      <c r="J48" s="25"/>
      <c r="K48" s="26"/>
      <c r="L48" s="26"/>
      <c r="M48" s="20" t="s">
        <v>209</v>
      </c>
      <c r="N48" s="21" t="s">
        <v>295</v>
      </c>
      <c r="O48" s="27" t="s">
        <v>296</v>
      </c>
      <c r="P48" s="26"/>
    </row>
    <row r="49" customFormat="false" ht="79.85" hidden="false" customHeight="false" outlineLevel="0" collapsed="false">
      <c r="A49" s="20" t="s">
        <v>297</v>
      </c>
      <c r="B49" s="20" t="s">
        <v>298</v>
      </c>
      <c r="C49" s="21" t="s">
        <v>299</v>
      </c>
      <c r="D49" s="21" t="s">
        <v>121</v>
      </c>
      <c r="E49" s="22" t="n">
        <v>1</v>
      </c>
      <c r="F49" s="23" t="n">
        <v>6</v>
      </c>
      <c r="G49" s="22" t="s">
        <v>56</v>
      </c>
      <c r="H49" s="24" t="n">
        <f aca="false">IF(G49="USD",F49*Summary!$C$8,F49)</f>
        <v>6</v>
      </c>
      <c r="I49" s="24" t="n">
        <f aca="false">H49/E49</f>
        <v>6</v>
      </c>
      <c r="J49" s="21" t="s">
        <v>300</v>
      </c>
      <c r="K49" s="22" t="n">
        <v>1</v>
      </c>
      <c r="L49" s="28" t="n">
        <f aca="false">2.3*Summary!$C$8</f>
        <v>3.21839</v>
      </c>
      <c r="M49" s="20" t="s">
        <v>57</v>
      </c>
      <c r="N49" s="21" t="s">
        <v>301</v>
      </c>
      <c r="O49" s="27" t="s">
        <v>302</v>
      </c>
      <c r="P49" s="27" t="s">
        <v>303</v>
      </c>
    </row>
    <row r="50" customFormat="false" ht="102.2" hidden="false" customHeight="false" outlineLevel="0" collapsed="false">
      <c r="A50" s="20" t="s">
        <v>304</v>
      </c>
      <c r="B50" s="20" t="s">
        <v>305</v>
      </c>
      <c r="C50" s="21" t="s">
        <v>306</v>
      </c>
      <c r="D50" s="21" t="s">
        <v>307</v>
      </c>
      <c r="E50" s="22" t="n">
        <v>1</v>
      </c>
      <c r="F50" s="23" t="n">
        <v>8.95</v>
      </c>
      <c r="G50" s="22" t="s">
        <v>56</v>
      </c>
      <c r="H50" s="24" t="n">
        <f aca="false">IF(G50="USD",F50*Summary!$C$8,F50)</f>
        <v>8.95</v>
      </c>
      <c r="I50" s="24" t="n">
        <f aca="false">H50/E50</f>
        <v>8.95</v>
      </c>
      <c r="J50" s="21" t="s">
        <v>308</v>
      </c>
      <c r="K50" s="22" t="n">
        <v>1</v>
      </c>
      <c r="L50" s="28" t="n">
        <f aca="false">4.99*Summary!$C$8</f>
        <v>6.982507</v>
      </c>
      <c r="M50" s="20" t="s">
        <v>57</v>
      </c>
      <c r="N50" s="21" t="s">
        <v>309</v>
      </c>
      <c r="O50" s="27" t="s">
        <v>310</v>
      </c>
      <c r="P50" s="27" t="s">
        <v>311</v>
      </c>
    </row>
    <row r="51" customFormat="false" ht="15" hidden="false" customHeight="false" outlineLevel="0" collapsed="false">
      <c r="A51" s="20" t="s">
        <v>312</v>
      </c>
      <c r="B51" s="20" t="s">
        <v>313</v>
      </c>
      <c r="C51" s="21" t="s">
        <v>314</v>
      </c>
      <c r="D51" s="21" t="s">
        <v>315</v>
      </c>
      <c r="E51" s="22" t="n">
        <v>5</v>
      </c>
      <c r="F51" s="23" t="n">
        <v>5.95</v>
      </c>
      <c r="G51" s="22" t="s">
        <v>94</v>
      </c>
      <c r="H51" s="24" t="n">
        <f aca="false">IF(G51="USD",F51*Summary!$C$8,F51)</f>
        <v>8.325835</v>
      </c>
      <c r="I51" s="24" t="n">
        <f aca="false">H51/E51</f>
        <v>1.665167</v>
      </c>
      <c r="J51" s="25"/>
      <c r="K51" s="26"/>
      <c r="L51" s="26"/>
      <c r="M51" s="20" t="s">
        <v>209</v>
      </c>
      <c r="N51" s="21" t="s">
        <v>316</v>
      </c>
      <c r="O51" s="27" t="s">
        <v>317</v>
      </c>
      <c r="P51" s="26"/>
    </row>
    <row r="52" customFormat="false" ht="68.65" hidden="false" customHeight="false" outlineLevel="0" collapsed="false">
      <c r="A52" s="20" t="s">
        <v>318</v>
      </c>
      <c r="B52" s="20" t="s">
        <v>319</v>
      </c>
      <c r="C52" s="21" t="s">
        <v>320</v>
      </c>
      <c r="D52" s="21" t="s">
        <v>55</v>
      </c>
      <c r="E52" s="22" t="n">
        <v>1</v>
      </c>
      <c r="F52" s="23" t="n">
        <v>7.99</v>
      </c>
      <c r="G52" s="22" t="s">
        <v>56</v>
      </c>
      <c r="H52" s="24" t="n">
        <f aca="false">IF(G52="USD",F52*Summary!$C$8,F52)</f>
        <v>7.99</v>
      </c>
      <c r="I52" s="24" t="n">
        <f aca="false">H52/E52</f>
        <v>7.99</v>
      </c>
      <c r="J52" s="25"/>
      <c r="K52" s="26"/>
      <c r="L52" s="26"/>
      <c r="M52" s="20" t="s">
        <v>57</v>
      </c>
      <c r="N52" s="21" t="s">
        <v>321</v>
      </c>
      <c r="O52" s="27" t="s">
        <v>322</v>
      </c>
      <c r="P52" s="26"/>
    </row>
    <row r="53" customFormat="false" ht="46.25" hidden="false" customHeight="false" outlineLevel="0" collapsed="false">
      <c r="A53" s="20" t="s">
        <v>323</v>
      </c>
      <c r="B53" s="20" t="s">
        <v>324</v>
      </c>
      <c r="C53" s="21" t="s">
        <v>325</v>
      </c>
      <c r="D53" s="21" t="s">
        <v>143</v>
      </c>
      <c r="E53" s="22" t="n">
        <v>1</v>
      </c>
      <c r="F53" s="23" t="n">
        <v>6.95</v>
      </c>
      <c r="G53" s="22" t="s">
        <v>56</v>
      </c>
      <c r="H53" s="24" t="n">
        <f aca="false">IF(G53="USD",F53*Summary!$C$8,F53)</f>
        <v>6.95</v>
      </c>
      <c r="I53" s="24" t="n">
        <f aca="false">H53/E53</f>
        <v>6.95</v>
      </c>
      <c r="J53" s="25"/>
      <c r="K53" s="26"/>
      <c r="L53" s="26"/>
      <c r="M53" s="20" t="s">
        <v>57</v>
      </c>
      <c r="N53" s="21" t="s">
        <v>326</v>
      </c>
      <c r="O53" s="27" t="s">
        <v>327</v>
      </c>
      <c r="P53" s="26"/>
    </row>
    <row r="54" customFormat="false" ht="15" hidden="false" customHeight="false" outlineLevel="0" collapsed="false">
      <c r="A54" s="20" t="s">
        <v>328</v>
      </c>
      <c r="B54" s="20" t="s">
        <v>329</v>
      </c>
      <c r="C54" s="21" t="s">
        <v>330</v>
      </c>
      <c r="D54" s="21" t="s">
        <v>63</v>
      </c>
      <c r="E54" s="22" t="n">
        <v>1</v>
      </c>
      <c r="F54" s="23" t="n">
        <v>14.99</v>
      </c>
      <c r="G54" s="22" t="s">
        <v>56</v>
      </c>
      <c r="H54" s="24" t="n">
        <f aca="false">IF(G54="USD",F54*Summary!$C$8,F54)</f>
        <v>14.99</v>
      </c>
      <c r="I54" s="24" t="n">
        <f aca="false">H54/E54</f>
        <v>14.99</v>
      </c>
      <c r="J54" s="25"/>
      <c r="K54" s="26"/>
      <c r="L54" s="26"/>
      <c r="M54" s="20" t="s">
        <v>209</v>
      </c>
      <c r="N54" s="21" t="s">
        <v>331</v>
      </c>
      <c r="O54" s="27" t="s">
        <v>332</v>
      </c>
      <c r="P54" s="26"/>
    </row>
    <row r="55" customFormat="false" ht="46.25" hidden="false" customHeight="false" outlineLevel="0" collapsed="false">
      <c r="A55" s="20" t="s">
        <v>333</v>
      </c>
      <c r="B55" s="20" t="s">
        <v>334</v>
      </c>
      <c r="C55" s="21" t="s">
        <v>335</v>
      </c>
      <c r="D55" s="21" t="s">
        <v>336</v>
      </c>
      <c r="E55" s="22" t="n">
        <v>1</v>
      </c>
      <c r="F55" s="23" t="n">
        <v>23.99</v>
      </c>
      <c r="G55" s="22" t="s">
        <v>94</v>
      </c>
      <c r="H55" s="24" t="n">
        <f aca="false">IF(G55="USD",F55*Summary!$C$8,F55)</f>
        <v>33.569207</v>
      </c>
      <c r="I55" s="24" t="n">
        <f aca="false">H55/E55</f>
        <v>33.569207</v>
      </c>
      <c r="J55" s="25"/>
      <c r="K55" s="26"/>
      <c r="L55" s="26"/>
      <c r="M55" s="20" t="s">
        <v>209</v>
      </c>
      <c r="N55" s="21" t="s">
        <v>337</v>
      </c>
      <c r="O55" s="27" t="s">
        <v>338</v>
      </c>
      <c r="P55" s="26"/>
    </row>
    <row r="56" customFormat="false" ht="68.65" hidden="false" customHeight="false" outlineLevel="0" collapsed="false">
      <c r="A56" s="20" t="s">
        <v>339</v>
      </c>
      <c r="B56" s="20" t="s">
        <v>340</v>
      </c>
      <c r="C56" s="21" t="s">
        <v>341</v>
      </c>
      <c r="D56" s="21" t="s">
        <v>342</v>
      </c>
      <c r="E56" s="22" t="n">
        <v>1</v>
      </c>
      <c r="F56" s="23" t="n">
        <v>18.16</v>
      </c>
      <c r="G56" s="22" t="s">
        <v>56</v>
      </c>
      <c r="H56" s="24" t="n">
        <f aca="false">IF(G56="USD",F56*Summary!$C$8,F56)</f>
        <v>18.16</v>
      </c>
      <c r="I56" s="24" t="n">
        <f aca="false">H56/E56</f>
        <v>18.16</v>
      </c>
      <c r="J56" s="25"/>
      <c r="K56" s="26"/>
      <c r="L56" s="26"/>
      <c r="M56" s="20" t="s">
        <v>57</v>
      </c>
      <c r="N56" s="21" t="s">
        <v>343</v>
      </c>
      <c r="O56" s="27" t="s">
        <v>344</v>
      </c>
      <c r="P56" s="26"/>
    </row>
    <row r="57" customFormat="false" ht="23.85" hidden="false" customHeight="false" outlineLevel="0" collapsed="false">
      <c r="A57" s="20" t="s">
        <v>345</v>
      </c>
      <c r="B57" s="20" t="s">
        <v>346</v>
      </c>
      <c r="C57" s="21" t="s">
        <v>347</v>
      </c>
      <c r="D57" s="21" t="s">
        <v>166</v>
      </c>
      <c r="E57" s="22" t="n">
        <v>1</v>
      </c>
      <c r="F57" s="23" t="n">
        <v>27.13</v>
      </c>
      <c r="G57" s="22" t="s">
        <v>56</v>
      </c>
      <c r="H57" s="24" t="n">
        <f aca="false">IF(G57="USD",F57*Summary!$C$8,F57)</f>
        <v>27.13</v>
      </c>
      <c r="I57" s="24" t="n">
        <f aca="false">H57/E57</f>
        <v>27.13</v>
      </c>
      <c r="J57" s="25"/>
      <c r="K57" s="26"/>
      <c r="L57" s="26"/>
      <c r="M57" s="20" t="s">
        <v>57</v>
      </c>
      <c r="N57" s="21" t="s">
        <v>348</v>
      </c>
      <c r="O57" s="27" t="s">
        <v>349</v>
      </c>
      <c r="P57" s="26"/>
    </row>
    <row r="58" customFormat="false" ht="15" hidden="false" customHeight="false" outlineLevel="0" collapsed="false">
      <c r="A58" s="20" t="s">
        <v>350</v>
      </c>
      <c r="B58" s="20" t="s">
        <v>351</v>
      </c>
      <c r="C58" s="21" t="s">
        <v>352</v>
      </c>
      <c r="D58" s="21" t="s">
        <v>100</v>
      </c>
      <c r="E58" s="22" t="n">
        <v>1</v>
      </c>
      <c r="F58" s="23" t="n">
        <v>0.99</v>
      </c>
      <c r="G58" s="22" t="s">
        <v>56</v>
      </c>
      <c r="H58" s="24" t="n">
        <f aca="false">IF(G58="USD",F58*Summary!$C$8,F58)</f>
        <v>0.99</v>
      </c>
      <c r="I58" s="24" t="n">
        <f aca="false">H58/E58</f>
        <v>0.99</v>
      </c>
      <c r="J58" s="25"/>
      <c r="K58" s="26"/>
      <c r="L58" s="26"/>
      <c r="M58" s="20" t="s">
        <v>57</v>
      </c>
      <c r="N58" s="21" t="s">
        <v>353</v>
      </c>
      <c r="O58" s="27" t="s">
        <v>354</v>
      </c>
      <c r="P58" s="26"/>
    </row>
    <row r="59" customFormat="false" ht="23.85" hidden="false" customHeight="false" outlineLevel="0" collapsed="false">
      <c r="A59" s="20" t="s">
        <v>355</v>
      </c>
      <c r="B59" s="20" t="s">
        <v>356</v>
      </c>
      <c r="C59" s="21" t="s">
        <v>357</v>
      </c>
      <c r="D59" s="21" t="s">
        <v>121</v>
      </c>
      <c r="E59" s="22" t="n">
        <v>10</v>
      </c>
      <c r="F59" s="23" t="n">
        <v>1</v>
      </c>
      <c r="G59" s="22" t="s">
        <v>56</v>
      </c>
      <c r="H59" s="24" t="n">
        <f aca="false">IF(G59="USD",F59*Summary!$C$8,F59)</f>
        <v>1</v>
      </c>
      <c r="I59" s="24" t="n">
        <f aca="false">H59/E59</f>
        <v>0.1</v>
      </c>
      <c r="J59" s="25"/>
      <c r="K59" s="26"/>
      <c r="L59" s="26"/>
      <c r="M59" s="20" t="s">
        <v>57</v>
      </c>
      <c r="N59" s="21" t="s">
        <v>358</v>
      </c>
      <c r="O59" s="27" t="s">
        <v>359</v>
      </c>
      <c r="P59" s="26"/>
    </row>
    <row r="60" customFormat="false" ht="91" hidden="false" customHeight="false" outlineLevel="0" collapsed="false">
      <c r="A60" s="20" t="s">
        <v>360</v>
      </c>
      <c r="B60" s="20" t="s">
        <v>361</v>
      </c>
      <c r="C60" s="21" t="s">
        <v>362</v>
      </c>
      <c r="D60" s="21" t="s">
        <v>121</v>
      </c>
      <c r="E60" s="22" t="n">
        <v>1</v>
      </c>
      <c r="F60" s="23" t="n">
        <v>12.95</v>
      </c>
      <c r="G60" s="22" t="s">
        <v>56</v>
      </c>
      <c r="H60" s="24" t="n">
        <f aca="false">IF(G60="USD",F60*Summary!$C$8,F60)</f>
        <v>12.95</v>
      </c>
      <c r="I60" s="24" t="n">
        <f aca="false">H60/E60</f>
        <v>12.95</v>
      </c>
      <c r="J60" s="25"/>
      <c r="K60" s="26"/>
      <c r="L60" s="26"/>
      <c r="M60" s="20" t="s">
        <v>57</v>
      </c>
      <c r="N60" s="21" t="s">
        <v>363</v>
      </c>
      <c r="O60" s="27" t="s">
        <v>364</v>
      </c>
      <c r="P60" s="26"/>
    </row>
    <row r="61" customFormat="false" ht="23.85" hidden="false" customHeight="false" outlineLevel="0" collapsed="false">
      <c r="A61" s="20" t="s">
        <v>365</v>
      </c>
      <c r="B61" s="20" t="s">
        <v>366</v>
      </c>
      <c r="C61" s="21" t="s">
        <v>367</v>
      </c>
      <c r="D61" s="21" t="s">
        <v>121</v>
      </c>
      <c r="E61" s="22" t="n">
        <v>4</v>
      </c>
      <c r="F61" s="23" t="n">
        <v>1</v>
      </c>
      <c r="G61" s="22" t="s">
        <v>56</v>
      </c>
      <c r="H61" s="24" t="n">
        <f aca="false">IF(G61="USD",F61*Summary!$C$8,F61)</f>
        <v>1</v>
      </c>
      <c r="I61" s="24" t="n">
        <f aca="false">H61/E61</f>
        <v>0.25</v>
      </c>
      <c r="J61" s="25"/>
      <c r="K61" s="26"/>
      <c r="L61" s="26"/>
      <c r="M61" s="20" t="s">
        <v>57</v>
      </c>
      <c r="N61" s="21" t="s">
        <v>368</v>
      </c>
      <c r="O61" s="27" t="s">
        <v>369</v>
      </c>
      <c r="P61" s="26"/>
    </row>
    <row r="62" customFormat="false" ht="35.05" hidden="false" customHeight="false" outlineLevel="0" collapsed="false">
      <c r="A62" s="20" t="s">
        <v>370</v>
      </c>
      <c r="B62" s="20" t="s">
        <v>371</v>
      </c>
      <c r="C62" s="21" t="s">
        <v>372</v>
      </c>
      <c r="D62" s="21" t="s">
        <v>55</v>
      </c>
      <c r="E62" s="22" t="n">
        <v>5</v>
      </c>
      <c r="F62" s="23" t="n">
        <v>1.99</v>
      </c>
      <c r="G62" s="22" t="s">
        <v>56</v>
      </c>
      <c r="H62" s="24" t="n">
        <f aca="false">IF(G62="USD",F62*Summary!$C$8,F62)</f>
        <v>1.99</v>
      </c>
      <c r="I62" s="24" t="n">
        <f aca="false">H62/E62</f>
        <v>0.398</v>
      </c>
      <c r="J62" s="25"/>
      <c r="K62" s="26"/>
      <c r="L62" s="26"/>
      <c r="M62" s="20" t="s">
        <v>57</v>
      </c>
      <c r="N62" s="21" t="s">
        <v>373</v>
      </c>
      <c r="O62" s="27" t="s">
        <v>374</v>
      </c>
      <c r="P62" s="26"/>
    </row>
    <row r="63" customFormat="false" ht="46.25" hidden="false" customHeight="false" outlineLevel="0" collapsed="false">
      <c r="A63" s="20" t="s">
        <v>375</v>
      </c>
      <c r="B63" s="20" t="s">
        <v>376</v>
      </c>
      <c r="C63" s="21" t="s">
        <v>377</v>
      </c>
      <c r="D63" s="21" t="s">
        <v>55</v>
      </c>
      <c r="E63" s="22" t="n">
        <v>10</v>
      </c>
      <c r="F63" s="23" t="n">
        <v>1.49</v>
      </c>
      <c r="G63" s="22" t="s">
        <v>56</v>
      </c>
      <c r="H63" s="24" t="n">
        <f aca="false">IF(G63="USD",F63*Summary!$C$8,F63)</f>
        <v>1.49</v>
      </c>
      <c r="I63" s="24" t="n">
        <f aca="false">H63/E63</f>
        <v>0.149</v>
      </c>
      <c r="J63" s="25"/>
      <c r="K63" s="26"/>
      <c r="L63" s="26"/>
      <c r="M63" s="20" t="s">
        <v>209</v>
      </c>
      <c r="N63" s="21" t="s">
        <v>378</v>
      </c>
      <c r="O63" s="27" t="s">
        <v>379</v>
      </c>
      <c r="P63" s="26"/>
    </row>
    <row r="64" customFormat="false" ht="23.85" hidden="false" customHeight="false" outlineLevel="0" collapsed="false">
      <c r="A64" s="20" t="s">
        <v>380</v>
      </c>
      <c r="B64" s="20" t="s">
        <v>381</v>
      </c>
      <c r="C64" s="21" t="s">
        <v>382</v>
      </c>
      <c r="D64" s="21" t="s">
        <v>69</v>
      </c>
      <c r="E64" s="22" t="n">
        <v>1</v>
      </c>
      <c r="F64" s="23" t="n">
        <v>0.86</v>
      </c>
      <c r="G64" s="22" t="s">
        <v>56</v>
      </c>
      <c r="H64" s="24" t="n">
        <f aca="false">IF(G64="USD",F64*Summary!$C$8,F64)</f>
        <v>0.86</v>
      </c>
      <c r="I64" s="24" t="n">
        <f aca="false">H64/E64</f>
        <v>0.86</v>
      </c>
      <c r="J64" s="25"/>
      <c r="K64" s="26"/>
      <c r="L64" s="26"/>
      <c r="M64" s="20" t="s">
        <v>57</v>
      </c>
      <c r="N64" s="21" t="s">
        <v>383</v>
      </c>
      <c r="O64" s="27" t="s">
        <v>384</v>
      </c>
      <c r="P64" s="26"/>
    </row>
    <row r="65" customFormat="false" ht="23.85" hidden="false" customHeight="false" outlineLevel="0" collapsed="false">
      <c r="A65" s="20" t="s">
        <v>385</v>
      </c>
      <c r="B65" s="20" t="s">
        <v>386</v>
      </c>
      <c r="C65" s="21" t="s">
        <v>387</v>
      </c>
      <c r="D65" s="21" t="s">
        <v>69</v>
      </c>
      <c r="E65" s="22" t="n">
        <v>1</v>
      </c>
      <c r="F65" s="23" t="n">
        <v>3.06</v>
      </c>
      <c r="G65" s="22" t="s">
        <v>56</v>
      </c>
      <c r="H65" s="24" t="n">
        <f aca="false">IF(G65="USD",F65*Summary!$C$8,F65)</f>
        <v>3.06</v>
      </c>
      <c r="I65" s="24" t="n">
        <f aca="false">H65/E65</f>
        <v>3.06</v>
      </c>
      <c r="J65" s="25"/>
      <c r="K65" s="26"/>
      <c r="L65" s="26"/>
      <c r="M65" s="20" t="s">
        <v>57</v>
      </c>
      <c r="N65" s="21" t="s">
        <v>388</v>
      </c>
      <c r="O65" s="27" t="s">
        <v>389</v>
      </c>
      <c r="P65" s="26"/>
    </row>
    <row r="66" customFormat="false" ht="35.05" hidden="false" customHeight="false" outlineLevel="0" collapsed="false">
      <c r="A66" s="20" t="s">
        <v>390</v>
      </c>
      <c r="B66" s="20" t="s">
        <v>391</v>
      </c>
      <c r="C66" s="21" t="s">
        <v>392</v>
      </c>
      <c r="D66" s="21" t="s">
        <v>69</v>
      </c>
      <c r="E66" s="22" t="n">
        <v>1</v>
      </c>
      <c r="F66" s="23" t="n">
        <v>1.36</v>
      </c>
      <c r="G66" s="22" t="s">
        <v>56</v>
      </c>
      <c r="H66" s="24" t="n">
        <f aca="false">IF(G66="USD",F66*Summary!$C$8,F66)</f>
        <v>1.36</v>
      </c>
      <c r="I66" s="24" t="n">
        <f aca="false">H66/E66</f>
        <v>1.36</v>
      </c>
      <c r="J66" s="25"/>
      <c r="K66" s="26"/>
      <c r="L66" s="26"/>
      <c r="M66" s="20" t="s">
        <v>57</v>
      </c>
      <c r="N66" s="21" t="s">
        <v>393</v>
      </c>
      <c r="O66" s="27" t="s">
        <v>394</v>
      </c>
      <c r="P66" s="26"/>
    </row>
    <row r="67" customFormat="false" ht="57.45" hidden="false" customHeight="false" outlineLevel="0" collapsed="false">
      <c r="A67" s="20" t="s">
        <v>395</v>
      </c>
      <c r="B67" s="20" t="s">
        <v>396</v>
      </c>
      <c r="C67" s="21" t="s">
        <v>397</v>
      </c>
      <c r="D67" s="21" t="s">
        <v>398</v>
      </c>
      <c r="E67" s="22" t="n">
        <v>1</v>
      </c>
      <c r="F67" s="23" t="n">
        <v>7.54</v>
      </c>
      <c r="G67" s="22" t="s">
        <v>56</v>
      </c>
      <c r="H67" s="24" t="n">
        <f aca="false">IF(G67="USD",F67*Summary!$C$8,F67)</f>
        <v>7.54</v>
      </c>
      <c r="I67" s="24" t="n">
        <f aca="false">H67/E67</f>
        <v>7.54</v>
      </c>
      <c r="J67" s="21" t="s">
        <v>399</v>
      </c>
      <c r="K67" s="22" t="n">
        <v>1</v>
      </c>
      <c r="L67" s="28" t="n">
        <v>6</v>
      </c>
      <c r="M67" s="20" t="s">
        <v>57</v>
      </c>
      <c r="N67" s="21" t="s">
        <v>400</v>
      </c>
      <c r="O67" s="27" t="s">
        <v>401</v>
      </c>
      <c r="P67" s="26"/>
    </row>
    <row r="68" customFormat="false" ht="35.05" hidden="false" customHeight="false" outlineLevel="0" collapsed="false">
      <c r="A68" s="20" t="s">
        <v>402</v>
      </c>
      <c r="B68" s="20" t="s">
        <v>403</v>
      </c>
      <c r="C68" s="21" t="s">
        <v>404</v>
      </c>
      <c r="D68" s="21" t="s">
        <v>55</v>
      </c>
      <c r="E68" s="22" t="n">
        <v>1</v>
      </c>
      <c r="F68" s="23" t="n">
        <v>3.99</v>
      </c>
      <c r="G68" s="22" t="s">
        <v>56</v>
      </c>
      <c r="H68" s="24" t="n">
        <f aca="false">IF(G68="USD",F68*Summary!$C$8,F68)</f>
        <v>3.99</v>
      </c>
      <c r="I68" s="24" t="n">
        <f aca="false">H68/E68</f>
        <v>3.99</v>
      </c>
      <c r="J68" s="25"/>
      <c r="K68" s="26"/>
      <c r="L68" s="26"/>
      <c r="M68" s="20" t="s">
        <v>57</v>
      </c>
      <c r="N68" s="21" t="s">
        <v>405</v>
      </c>
      <c r="O68" s="27" t="s">
        <v>406</v>
      </c>
      <c r="P68" s="26"/>
    </row>
    <row r="69" customFormat="false" ht="23.85" hidden="false" customHeight="false" outlineLevel="0" collapsed="false">
      <c r="A69" s="20" t="s">
        <v>407</v>
      </c>
      <c r="B69" s="20" t="s">
        <v>408</v>
      </c>
      <c r="C69" s="21" t="s">
        <v>409</v>
      </c>
      <c r="D69" s="21" t="s">
        <v>166</v>
      </c>
      <c r="E69" s="22" t="n">
        <v>1</v>
      </c>
      <c r="F69" s="23" t="n">
        <v>7.07</v>
      </c>
      <c r="G69" s="22" t="s">
        <v>56</v>
      </c>
      <c r="H69" s="24" t="n">
        <f aca="false">IF(G69="USD",F69*Summary!$C$8,F69)</f>
        <v>7.07</v>
      </c>
      <c r="I69" s="24" t="n">
        <f aca="false">H69/E69</f>
        <v>7.07</v>
      </c>
      <c r="J69" s="25"/>
      <c r="K69" s="26"/>
      <c r="L69" s="26"/>
      <c r="M69" s="20" t="s">
        <v>57</v>
      </c>
      <c r="N69" s="21" t="s">
        <v>410</v>
      </c>
      <c r="O69" s="27" t="s">
        <v>411</v>
      </c>
      <c r="P69" s="26"/>
    </row>
    <row r="70" customFormat="false" ht="46.25" hidden="false" customHeight="false" outlineLevel="0" collapsed="false">
      <c r="A70" s="20" t="s">
        <v>412</v>
      </c>
      <c r="B70" s="20" t="s">
        <v>413</v>
      </c>
      <c r="C70" s="21" t="s">
        <v>414</v>
      </c>
      <c r="D70" s="21" t="s">
        <v>415</v>
      </c>
      <c r="E70" s="22" t="n">
        <v>1</v>
      </c>
      <c r="F70" s="23" t="n">
        <v>7.94</v>
      </c>
      <c r="G70" s="22" t="s">
        <v>56</v>
      </c>
      <c r="H70" s="24" t="n">
        <f aca="false">IF(G70="USD",F70*Summary!$C$8,F70)</f>
        <v>7.94</v>
      </c>
      <c r="I70" s="24" t="n">
        <f aca="false">H70/E70</f>
        <v>7.94</v>
      </c>
      <c r="J70" s="21" t="s">
        <v>416</v>
      </c>
      <c r="K70" s="22" t="n">
        <v>1</v>
      </c>
      <c r="L70" s="28" t="n">
        <v>3</v>
      </c>
      <c r="M70" s="20" t="s">
        <v>57</v>
      </c>
      <c r="N70" s="21" t="s">
        <v>417</v>
      </c>
      <c r="O70" s="27" t="s">
        <v>418</v>
      </c>
      <c r="P70" s="26"/>
    </row>
    <row r="71" customFormat="false" ht="46.25" hidden="false" customHeight="false" outlineLevel="0" collapsed="false">
      <c r="A71" s="20" t="s">
        <v>419</v>
      </c>
      <c r="B71" s="20" t="s">
        <v>420</v>
      </c>
      <c r="C71" s="21" t="s">
        <v>421</v>
      </c>
      <c r="D71" s="21" t="s">
        <v>422</v>
      </c>
      <c r="E71" s="22" t="n">
        <v>100</v>
      </c>
      <c r="F71" s="23" t="n">
        <v>9</v>
      </c>
      <c r="G71" s="22" t="s">
        <v>56</v>
      </c>
      <c r="H71" s="24" t="n">
        <f aca="false">IF(G71="USD",F71*Summary!$C$8,F71)</f>
        <v>9</v>
      </c>
      <c r="I71" s="24" t="n">
        <f aca="false">H71/E71</f>
        <v>0.09</v>
      </c>
      <c r="J71" s="25"/>
      <c r="K71" s="26"/>
      <c r="L71" s="26"/>
      <c r="M71" s="20" t="s">
        <v>57</v>
      </c>
      <c r="N71" s="21" t="s">
        <v>423</v>
      </c>
      <c r="O71" s="27" t="s">
        <v>424</v>
      </c>
      <c r="P71" s="26"/>
    </row>
    <row r="72" customFormat="false" ht="35.05" hidden="false" customHeight="false" outlineLevel="0" collapsed="false">
      <c r="A72" s="20" t="s">
        <v>425</v>
      </c>
      <c r="B72" s="20" t="s">
        <v>426</v>
      </c>
      <c r="C72" s="21" t="s">
        <v>427</v>
      </c>
      <c r="D72" s="21" t="s">
        <v>55</v>
      </c>
      <c r="E72" s="22" t="n">
        <v>1</v>
      </c>
      <c r="F72" s="23" t="n">
        <v>2.29</v>
      </c>
      <c r="G72" s="22" t="s">
        <v>56</v>
      </c>
      <c r="H72" s="24" t="n">
        <f aca="false">IF(G72="USD",F72*Summary!$C$8,F72)</f>
        <v>2.29</v>
      </c>
      <c r="I72" s="24" t="n">
        <f aca="false">H72/E72</f>
        <v>2.29</v>
      </c>
      <c r="J72" s="25"/>
      <c r="K72" s="26"/>
      <c r="L72" s="26"/>
      <c r="M72" s="20" t="s">
        <v>57</v>
      </c>
      <c r="N72" s="21" t="s">
        <v>428</v>
      </c>
      <c r="O72" s="27" t="s">
        <v>429</v>
      </c>
      <c r="P72" s="26"/>
    </row>
    <row r="73" customFormat="false" ht="35.05" hidden="false" customHeight="false" outlineLevel="0" collapsed="false">
      <c r="A73" s="20" t="s">
        <v>430</v>
      </c>
      <c r="B73" s="20" t="s">
        <v>431</v>
      </c>
      <c r="C73" s="21" t="s">
        <v>432</v>
      </c>
      <c r="D73" s="21" t="s">
        <v>433</v>
      </c>
      <c r="E73" s="22" t="n">
        <v>1</v>
      </c>
      <c r="F73" s="23" t="n">
        <v>0.72</v>
      </c>
      <c r="G73" s="22" t="s">
        <v>56</v>
      </c>
      <c r="H73" s="24" t="n">
        <f aca="false">IF(G73="USD",F73*Summary!$C$8,F73)</f>
        <v>0.72</v>
      </c>
      <c r="I73" s="24" t="n">
        <f aca="false">H73/E73</f>
        <v>0.72</v>
      </c>
      <c r="J73" s="25"/>
      <c r="K73" s="26"/>
      <c r="L73" s="26"/>
      <c r="M73" s="20" t="s">
        <v>57</v>
      </c>
      <c r="N73" s="21" t="s">
        <v>434</v>
      </c>
      <c r="O73" s="27" t="s">
        <v>435</v>
      </c>
      <c r="P73" s="26"/>
    </row>
    <row r="74" customFormat="false" ht="91" hidden="false" customHeight="false" outlineLevel="0" collapsed="false">
      <c r="A74" s="20" t="s">
        <v>436</v>
      </c>
      <c r="B74" s="20" t="s">
        <v>437</v>
      </c>
      <c r="C74" s="21" t="s">
        <v>438</v>
      </c>
      <c r="D74" s="21" t="s">
        <v>439</v>
      </c>
      <c r="E74" s="22" t="n">
        <v>1</v>
      </c>
      <c r="F74" s="23" t="n">
        <v>24.99</v>
      </c>
      <c r="G74" s="22" t="s">
        <v>94</v>
      </c>
      <c r="H74" s="24" t="n">
        <f aca="false">IF(G74="USD",F74*Summary!$C$8,F74)</f>
        <v>34.968507</v>
      </c>
      <c r="I74" s="24" t="n">
        <f aca="false">H74/E74</f>
        <v>34.968507</v>
      </c>
      <c r="J74" s="25"/>
      <c r="K74" s="26"/>
      <c r="L74" s="26"/>
      <c r="M74" s="20" t="s">
        <v>57</v>
      </c>
      <c r="N74" s="21" t="s">
        <v>440</v>
      </c>
      <c r="O74" s="27" t="s">
        <v>441</v>
      </c>
      <c r="P74" s="26"/>
    </row>
    <row r="75" customFormat="false" ht="46.25" hidden="false" customHeight="false" outlineLevel="0" collapsed="false">
      <c r="A75" s="20" t="s">
        <v>442</v>
      </c>
      <c r="B75" s="20" t="s">
        <v>443</v>
      </c>
      <c r="C75" s="21" t="s">
        <v>444</v>
      </c>
      <c r="D75" s="21" t="s">
        <v>69</v>
      </c>
      <c r="E75" s="22" t="n">
        <v>1</v>
      </c>
      <c r="F75" s="23" t="n">
        <v>15</v>
      </c>
      <c r="G75" s="22" t="s">
        <v>56</v>
      </c>
      <c r="H75" s="24" t="n">
        <f aca="false">IF(G75="USD",F75*Summary!$C$8,F75)</f>
        <v>15</v>
      </c>
      <c r="I75" s="24" t="n">
        <f aca="false">H75/E75</f>
        <v>15</v>
      </c>
      <c r="J75" s="25"/>
      <c r="K75" s="26"/>
      <c r="L75" s="26"/>
      <c r="M75" s="20" t="s">
        <v>57</v>
      </c>
      <c r="N75" s="21" t="s">
        <v>445</v>
      </c>
      <c r="O75" s="27" t="s">
        <v>446</v>
      </c>
      <c r="P75" s="26"/>
    </row>
    <row r="76" customFormat="false" ht="91" hidden="false" customHeight="false" outlineLevel="0" collapsed="false">
      <c r="A76" s="20" t="s">
        <v>447</v>
      </c>
      <c r="B76" s="20" t="s">
        <v>448</v>
      </c>
      <c r="C76" s="21" t="s">
        <v>449</v>
      </c>
      <c r="D76" s="21" t="s">
        <v>450</v>
      </c>
      <c r="E76" s="22" t="n">
        <v>1</v>
      </c>
      <c r="F76" s="23" t="n">
        <v>23.99</v>
      </c>
      <c r="G76" s="22" t="s">
        <v>56</v>
      </c>
      <c r="H76" s="24" t="n">
        <f aca="false">IF(G76="USD",F76*Summary!$C$8,F76)</f>
        <v>23.99</v>
      </c>
      <c r="I76" s="24" t="n">
        <f aca="false">H76/E76</f>
        <v>23.99</v>
      </c>
      <c r="J76" s="21" t="s">
        <v>451</v>
      </c>
      <c r="K76" s="22" t="n">
        <v>1</v>
      </c>
      <c r="L76" s="28" t="n">
        <v>8</v>
      </c>
      <c r="M76" s="20" t="s">
        <v>57</v>
      </c>
      <c r="N76" s="21" t="s">
        <v>452</v>
      </c>
      <c r="O76" s="27" t="s">
        <v>453</v>
      </c>
      <c r="P76" s="26"/>
    </row>
    <row r="77" customFormat="false" ht="57.45" hidden="false" customHeight="false" outlineLevel="0" collapsed="false">
      <c r="A77" s="20" t="s">
        <v>454</v>
      </c>
      <c r="B77" s="20" t="s">
        <v>455</v>
      </c>
      <c r="C77" s="21" t="s">
        <v>456</v>
      </c>
      <c r="D77" s="21" t="s">
        <v>208</v>
      </c>
      <c r="E77" s="22" t="n">
        <v>2</v>
      </c>
      <c r="F77" s="23" t="n">
        <v>6.42</v>
      </c>
      <c r="G77" s="22" t="s">
        <v>94</v>
      </c>
      <c r="H77" s="24" t="n">
        <f aca="false">IF(G77="USD",F77*Summary!$C$8,F77)</f>
        <v>8.983506</v>
      </c>
      <c r="I77" s="24" t="n">
        <f aca="false">H77/E77</f>
        <v>4.491753</v>
      </c>
      <c r="J77" s="25"/>
      <c r="K77" s="26"/>
      <c r="L77" s="26"/>
      <c r="M77" s="20" t="s">
        <v>57</v>
      </c>
      <c r="N77" s="21" t="s">
        <v>457</v>
      </c>
      <c r="O77" s="27" t="s">
        <v>458</v>
      </c>
      <c r="P77" s="26"/>
    </row>
    <row r="78" customFormat="false" ht="46.25" hidden="false" customHeight="false" outlineLevel="0" collapsed="false">
      <c r="A78" s="20" t="s">
        <v>459</v>
      </c>
      <c r="B78" s="20" t="s">
        <v>460</v>
      </c>
      <c r="C78" s="21" t="s">
        <v>461</v>
      </c>
      <c r="D78" s="21" t="s">
        <v>166</v>
      </c>
      <c r="E78" s="22" t="n">
        <v>1</v>
      </c>
      <c r="F78" s="23" t="n">
        <v>5.62</v>
      </c>
      <c r="G78" s="22" t="s">
        <v>56</v>
      </c>
      <c r="H78" s="24" t="n">
        <f aca="false">IF(G78="USD",F78*Summary!$C$8,F78)</f>
        <v>5.62</v>
      </c>
      <c r="I78" s="24" t="n">
        <f aca="false">H78/E78</f>
        <v>5.62</v>
      </c>
      <c r="J78" s="25"/>
      <c r="K78" s="26"/>
      <c r="L78" s="26"/>
      <c r="M78" s="20" t="s">
        <v>209</v>
      </c>
      <c r="N78" s="21" t="s">
        <v>462</v>
      </c>
      <c r="O78" s="27" t="s">
        <v>463</v>
      </c>
      <c r="P78" s="26"/>
    </row>
    <row r="79" customFormat="false" ht="23.85" hidden="false" customHeight="false" outlineLevel="0" collapsed="false">
      <c r="A79" s="20" t="s">
        <v>464</v>
      </c>
      <c r="B79" s="20" t="s">
        <v>465</v>
      </c>
      <c r="C79" s="21" t="s">
        <v>466</v>
      </c>
      <c r="D79" s="21" t="s">
        <v>69</v>
      </c>
      <c r="E79" s="22" t="n">
        <v>1</v>
      </c>
      <c r="F79" s="23" t="n">
        <v>19.93</v>
      </c>
      <c r="G79" s="22" t="s">
        <v>56</v>
      </c>
      <c r="H79" s="24" t="n">
        <f aca="false">IF(G79="USD",F79*Summary!$C$8,F79)</f>
        <v>19.93</v>
      </c>
      <c r="I79" s="24" t="n">
        <f aca="false">H79/E79</f>
        <v>19.93</v>
      </c>
      <c r="J79" s="25"/>
      <c r="K79" s="26"/>
      <c r="L79" s="26"/>
      <c r="M79" s="20" t="s">
        <v>57</v>
      </c>
      <c r="N79" s="21" t="s">
        <v>467</v>
      </c>
      <c r="O79" s="27" t="s">
        <v>468</v>
      </c>
      <c r="P79" s="26"/>
    </row>
    <row r="80" customFormat="false" ht="15" hidden="false" customHeight="false" outlineLevel="0" collapsed="false">
      <c r="A80" s="20" t="s">
        <v>469</v>
      </c>
      <c r="B80" s="20" t="s">
        <v>470</v>
      </c>
      <c r="C80" s="21" t="s">
        <v>471</v>
      </c>
      <c r="D80" s="21" t="s">
        <v>472</v>
      </c>
      <c r="E80" s="22" t="n">
        <v>25</v>
      </c>
      <c r="F80" s="23" t="n">
        <v>4</v>
      </c>
      <c r="G80" s="22" t="s">
        <v>56</v>
      </c>
      <c r="H80" s="24" t="n">
        <f aca="false">IF(G80="USD",F80*Summary!$C$8,F80)</f>
        <v>4</v>
      </c>
      <c r="I80" s="24" t="n">
        <f aca="false">H80/E80</f>
        <v>0.16</v>
      </c>
      <c r="J80" s="25"/>
      <c r="K80" s="26"/>
      <c r="L80" s="26"/>
      <c r="M80" s="20" t="s">
        <v>150</v>
      </c>
      <c r="N80" s="21" t="s">
        <v>473</v>
      </c>
      <c r="O80" s="26"/>
      <c r="P80" s="26"/>
    </row>
    <row r="81" customFormat="false" ht="79.85" hidden="false" customHeight="false" outlineLevel="0" collapsed="false">
      <c r="A81" s="20" t="s">
        <v>474</v>
      </c>
      <c r="B81" s="20" t="s">
        <v>475</v>
      </c>
      <c r="C81" s="21" t="s">
        <v>476</v>
      </c>
      <c r="D81" s="21" t="s">
        <v>208</v>
      </c>
      <c r="E81" s="22" t="n">
        <v>1</v>
      </c>
      <c r="F81" s="23" t="n">
        <v>1.98</v>
      </c>
      <c r="G81" s="22" t="s">
        <v>94</v>
      </c>
      <c r="H81" s="24" t="n">
        <f aca="false">IF(G81="USD",F81*Summary!$C$8,F81)</f>
        <v>2.770614</v>
      </c>
      <c r="I81" s="24" t="n">
        <f aca="false">H81/E81</f>
        <v>2.770614</v>
      </c>
      <c r="J81" s="25"/>
      <c r="K81" s="26"/>
      <c r="L81" s="26"/>
      <c r="M81" s="20" t="s">
        <v>209</v>
      </c>
      <c r="N81" s="21" t="s">
        <v>477</v>
      </c>
      <c r="O81" s="27" t="s">
        <v>478</v>
      </c>
      <c r="P81" s="26"/>
    </row>
    <row r="82" customFormat="false" ht="46.25" hidden="false" customHeight="false" outlineLevel="0" collapsed="false">
      <c r="A82" s="20" t="s">
        <v>479</v>
      </c>
      <c r="B82" s="20" t="s">
        <v>480</v>
      </c>
      <c r="C82" s="21" t="s">
        <v>481</v>
      </c>
      <c r="D82" s="21" t="s">
        <v>100</v>
      </c>
      <c r="E82" s="22" t="n">
        <v>100</v>
      </c>
      <c r="F82" s="23" t="n">
        <v>5.99</v>
      </c>
      <c r="G82" s="22" t="s">
        <v>56</v>
      </c>
      <c r="H82" s="24" t="n">
        <f aca="false">IF(G82="USD",F82*Summary!$C$8,F82)</f>
        <v>5.99</v>
      </c>
      <c r="I82" s="24" t="n">
        <f aca="false">H82/E82</f>
        <v>0.0599</v>
      </c>
      <c r="J82" s="25"/>
      <c r="K82" s="26"/>
      <c r="L82" s="26"/>
      <c r="M82" s="20" t="s">
        <v>209</v>
      </c>
      <c r="N82" s="21" t="s">
        <v>482</v>
      </c>
      <c r="O82" s="27" t="s">
        <v>483</v>
      </c>
      <c r="P82" s="26"/>
    </row>
  </sheetData>
  <mergeCells count="1">
    <mergeCell ref="A2:P2"/>
  </mergeCells>
  <hyperlinks>
    <hyperlink ref="O5" r:id="rId1" display="https://www.canadarobotix.com/products/941"/>
    <hyperlink ref="O6" r:id="rId2" display="https://www.canadacomputers.com/en/webcam/105281/logitech-brio-webcam-with-4k-ultra-hd-video-black-960-001105.html"/>
    <hyperlink ref="O7" r:id="rId3" display="https://ca.robotshop.com/products/sparkfun-electrolytic-decoupling-capacitors-1000uf-25v"/>
    <hyperlink ref="O8" r:id="rId4" display="https://ca.robotshop.com/products/sparkfun-electrolytic-decoupling-capacitors-100uf-25v"/>
    <hyperlink ref="O9" r:id="rId5" display="https://www.flashlightworld.com/collections/18650-batteries/products/panasonic-ncr-18650b-3400mah-4-9a-protected-button-top-battery"/>
    <hyperlink ref="P9" r:id="rId6" display="https://illumn.com/18650-lg-mj1-inr18650-mj1-high-discharge-protected-button-top.html"/>
    <hyperlink ref="O10" r:id="rId7" display="https://www.canadarobotix.com/products/905"/>
    <hyperlink ref="O11" r:id="rId8" display="https://illumn.com/chargers/xtar-x2-li-ion-ni-mh-dual-bay-smart-quick-charger.html"/>
    <hyperlink ref="O12" r:id="rId9" display="https://www.princessauto.com/en/product/PA0008551582"/>
    <hyperlink ref="O13" r:id="rId10" display="https://www.princessauto.com/en/product/PA0009298993"/>
    <hyperlink ref="O14" r:id="rId11" display="https://www.princessauto.com/en/product/PA0008369621"/>
    <hyperlink ref="O15" r:id="rId12" display="https://ca.robotshop.com/products/loctite-threadlocker-blue-242-6ml"/>
    <hyperlink ref="O16" r:id="rId13" display="https://bc-robotics.com/shop/metal-panel-mount-2-1mm-dc-barrel-jack/"/>
    <hyperlink ref="O17" r:id="rId14" display="https://bc-robotics.com/shop/inline-power-switch-2-1mm-barrel-plug/"/>
    <hyperlink ref="O18" r:id="rId15" display="https://bc-robotics.com/shop/2-x-100mm-shaft/"/>
    <hyperlink ref="O19" r:id="rId16" display="https://nbpower.com/en/products-services/residential/rates"/>
    <hyperlink ref="O20" r:id="rId17" display="https://www.universal-solder.ca/product/esp32-devkit-esp-wroom-32-4mb-cp2101-usb-uart/"/>
    <hyperlink ref="O22" r:id="rId18" display="https://bc-robotics.com/shop/inline-ato-atc-fuse-holder-18awg/"/>
    <hyperlink ref="O23" r:id="rId19" display="https://www.poundsterlinglive.com/history/USD-CAD-2026"/>
    <hyperlink ref="O24" r:id="rId20" display="https://ca.robotshop.com/products/hc-sr04-ultrasonic-sensor"/>
    <hyperlink ref="O25" r:id="rId21" display="https://ca.robotshop.com/products/servocity-heat-shrink-tubing-560pc-assortment-pack"/>
    <hyperlink ref="O26" r:id="rId22" display="https://bc-robotics.com/shop/2-x-18650-battery-holder/"/>
    <hyperlink ref="O27" r:id="rId23" display="https://www.canadarobotix.com/products/1322"/>
    <hyperlink ref="O28" r:id="rId24" display="https://spool3d.ca/m3-knurled-brass-threaded-insert/"/>
    <hyperlink ref="O29" r:id="rId25" display="https://ca.robotshop.com/products/servocity-female-to-female-jumper-wire-multicolor-20cm-length-40-pack"/>
    <hyperlink ref="O30" r:id="rId26" display="https://ca.robotshop.com/products/servocity-male-to-female-jumper-wire-multicolor-20cm-length-40-pack"/>
    <hyperlink ref="O31" r:id="rId27" display="https://ca.robotshop.com/products/servocity-male-to-male-jumper-wire-multicolor-20cm-length-40-pack"/>
    <hyperlink ref="O32" r:id="rId28" display="https://rotorvillage.ca/gnb-long-range-1100mah-2s-hv-60c-lipo-xt30/"/>
    <hyperlink ref="O33" r:id="rId29" display="https://rotorvillage.ca/lipo-voltmeter-buzzer-1s-to-8s/"/>
    <hyperlink ref="O34" r:id="rId30" display="https://rotorvillage.ca/rvs-lipo-storage-bag/"/>
    <hyperlink ref="O35" r:id="rId31" display="https://ca.robotshop.com/products/b3ac-lipo-battery-charger-18w-us"/>
    <hyperlink ref="O36" r:id="rId32" display="https://bearingscanada.com/products/750-pcs-self-tapping-screws-for-plastic-and-metal"/>
    <hyperlink ref="O37" r:id="rId33" display="https://www.canadarobotix.com/products/843"/>
    <hyperlink ref="O38" r:id="rId34" display="https://bc-robotics.com/shop/m2-screw-set-40-pcs/"/>
    <hyperlink ref="O39" r:id="rId35" display="https://spool3d.ca/m2-nylon-hex-nut-stainless-steel/"/>
    <hyperlink ref="O40" r:id="rId36" display="https://ca.robotshop.com/products/3d-printing-canada-usa-3d-printing-canada-stainless-steel-metric-flat-washers-m2-10-pack"/>
    <hyperlink ref="O41" r:id="rId37" display="https://www.amazon.ca/"/>
    <hyperlink ref="O42" r:id="rId38" display="https://www.amazon.ca/"/>
    <hyperlink ref="O43" r:id="rId39" display="https://spool3d.ca/m3-hex-nut-alloy-steel/"/>
    <hyperlink ref="O44" r:id="rId40" display="https://ca.robotshop.com/products/3d-printing-canada-usa-3d-printing-canada-stainless-steel-metric-thread-nyloc-hex-nuts-m3-10-pack"/>
    <hyperlink ref="O45" r:id="rId41" display="https://spool3d.ca/m3-socket-flat-point-grub-screw-stainless-steel/"/>
    <hyperlink ref="O46" r:id="rId42" display="https://spool3d.ca/m3-socket-head-cap-screw-kit-stainless-steel/"/>
    <hyperlink ref="O47" r:id="rId43" display="https://ca.robotshop.com/products/3d-printing-canada-usa-stainless-steel-metric-flat-washers-10-pack-m3-oversized"/>
    <hyperlink ref="O48" r:id="rId44" display="https://bc-robotics.com/shop/m3-washer-set-40-pcs/"/>
    <hyperlink ref="O49" r:id="rId45" display="https://bc-robotics.com/shop/micro-servo-high-torque-metal-gear/"/>
    <hyperlink ref="P49" r:id="rId46" display="https://www.waveshare.com/mg90s-servo.htm"/>
    <hyperlink ref="O50" r:id="rId47" display="https://www.pishop.ca/product/mg996r-high-torque-servo/"/>
    <hyperlink ref="P50" r:id="rId48" display="https://www.waveshare.com/product/modules/motors-servos/mg996r-servo.htm"/>
    <hyperlink ref="O51" r:id="rId49" display="https://www.aliexpress.com/w/wholesale-mp1584.html"/>
    <hyperlink ref="O52" r:id="rId50" display="https://www.canadarobotix.com/products/2835"/>
    <hyperlink ref="O53" r:id="rId51" display="https://www.universal-solder.ca/product/16-channel-12-bit-pwm-servo-driver-i2c/"/>
    <hyperlink ref="O54" r:id="rId52" display="https://www.canadacomputers.com/en/1207/filaments"/>
    <hyperlink ref="O55" r:id="rId53" display="https://www.prusa3d.com/category/prusament-petg/"/>
    <hyperlink ref="O56" r:id="rId54" display="https://leeselectronic.com/en/product/184500-wago-terminal-block-3-pos-24-12awg-221-series.html"/>
    <hyperlink ref="O57" r:id="rId55" display="https://ca.robotshop.com/products/power-supply-output-6vdc-5a-input-100-240vac"/>
    <hyperlink ref="O58" r:id="rId56" display="https://www.princessauto.com/en/product/PA0008659666"/>
    <hyperlink ref="O59" r:id="rId57" display="https://bc-robotics.com/shop/14-watt-resistor/"/>
    <hyperlink ref="O60" r:id="rId58" display="https://bc-robotics.com/shop/assorted-resistor-kit-600-pcs/"/>
    <hyperlink ref="O61" r:id="rId59" display="https://bc-robotics.com/shop/adhesive-rubber-feet/"/>
    <hyperlink ref="O62" r:id="rId60" display="https://www.canadarobotix.com/products/980"/>
    <hyperlink ref="O63" r:id="rId61" display="https://www.canadarobotix.com/collections/other-hardware/products/2096"/>
    <hyperlink ref="O64" r:id="rId62" display="https://ca.robotshop.com/products/servo-extension-cable-150mm"/>
    <hyperlink ref="O65" r:id="rId63" display="https://ca.robotshop.com/products/sea-02-servo-extender-cable-12"/>
    <hyperlink ref="O66" r:id="rId64" display="https://ca.robotshop.com/products/servo-extension-cable-600mm"/>
    <hyperlink ref="O67" r:id="rId65" display="https://solarbotics.com/product/20930/"/>
    <hyperlink ref="O68" r:id="rId66" display="https://www.canadarobotix.com/products/1130"/>
    <hyperlink ref="O69" r:id="rId67" display="https://ca.robotshop.com/products/pololu-dual-dc-motor-driver-1a-4-5v-3-5v-tb6612fng"/>
    <hyperlink ref="O70" r:id="rId68" display="https://kbctools.ca/itemdetail/1-905-KK2531"/>
    <hyperlink ref="O71" r:id="rId69" display="https://fleetnetwork.ca/products/adhesive-cable-tie-mount-1x-1-black-pack-of-100.html"/>
    <hyperlink ref="O72" r:id="rId70" display="https://www.canadarobotix.com/products/949"/>
    <hyperlink ref="O73" r:id="rId71" display="https://www.mouser.ca/ProductDetail/Littelfuse/SMBJ65A?qs=HR2RnyOI4E54mNEmZE5SaA%3D%3D"/>
    <hyperlink ref="O74" r:id="rId72" display="https://www.hobbywingdirect.com/products/ubec-10a"/>
    <hyperlink ref="O75" r:id="rId73" display="https://ca.robotshop.com/products/reversible-usb-a-to-usb-c-cable-2m"/>
    <hyperlink ref="O76" r:id="rId74" display="https://www.staples.ca/products/1910647-en-startech-micro-usb-cable-with-right-angled-connectors-mm-1m-3ft"/>
    <hyperlink ref="O77" r:id="rId75" display="https://rotorvillage.ca/rvs-kevlar-battery-strap-2pk/"/>
    <hyperlink ref="O78" r:id="rId76" display="https://ca.robotshop.com/products/red-silicon-wire-awg18-3m"/>
    <hyperlink ref="O79" r:id="rId77" display="https://ca.robotshop.com/products/plusivo-22awg-stranded-silicone-wire-kit-6-colors-7m-each"/>
    <hyperlink ref="O81" r:id="rId78" display="https://rotorvillage.ca/rotor-village-battery-pigtail-xt30-150mm-female/"/>
    <hyperlink ref="O82" r:id="rId79" display="https://www.princessauto.com/en/product/PA0008584385"/>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6"/>
    <col collapsed="false" customWidth="true" hidden="false" outlineLevel="0" max="3" min="3" style="0" width="18"/>
    <col collapsed="false" customWidth="true" hidden="false" outlineLevel="0" max="4" min="4" style="0" width="7"/>
    <col collapsed="false" customWidth="true" hidden="false" outlineLevel="0" max="5" min="5" style="0" width="10"/>
    <col collapsed="false" customWidth="true" hidden="false" outlineLevel="0" max="6" min="6" style="0" width="12"/>
    <col collapsed="false" customWidth="true" hidden="false" outlineLevel="0" max="8" min="7" style="0" width="8"/>
    <col collapsed="false" customWidth="true" hidden="false" outlineLevel="0" max="9" min="9" style="0" width="10"/>
    <col collapsed="false" customWidth="true" hidden="false" outlineLevel="0" max="11" min="10" style="0" width="11"/>
    <col collapsed="false" customWidth="true" hidden="false" outlineLevel="0" max="12" min="12" style="0" width="48"/>
    <col collapsed="false" customWidth="true" hidden="false" outlineLevel="0" max="13" min="13" style="0" width="14"/>
  </cols>
  <sheetData>
    <row r="1" customFormat="false" ht="19.7" hidden="false" customHeight="false" outlineLevel="0" collapsed="false">
      <c r="A1" s="1" t="s">
        <v>484</v>
      </c>
    </row>
    <row r="2" customFormat="false" ht="30" hidden="false" customHeight="true" outlineLevel="0" collapsed="false">
      <c r="A2" s="2" t="s">
        <v>485</v>
      </c>
      <c r="B2" s="2"/>
      <c r="C2" s="2"/>
      <c r="D2" s="2"/>
      <c r="E2" s="2"/>
      <c r="F2" s="2"/>
      <c r="G2" s="2"/>
      <c r="H2" s="2"/>
      <c r="I2" s="2"/>
      <c r="J2" s="2"/>
      <c r="K2" s="2"/>
      <c r="L2" s="2"/>
      <c r="M2" s="2"/>
    </row>
    <row r="4" customFormat="false" ht="23.85" hidden="false" customHeight="false" outlineLevel="0" collapsed="false">
      <c r="A4" s="11" t="s">
        <v>486</v>
      </c>
      <c r="B4" s="11" t="s">
        <v>37</v>
      </c>
      <c r="C4" s="11" t="s">
        <v>487</v>
      </c>
      <c r="D4" s="11" t="s">
        <v>488</v>
      </c>
      <c r="E4" s="11" t="s">
        <v>489</v>
      </c>
      <c r="F4" s="11" t="s">
        <v>490</v>
      </c>
      <c r="G4" s="11" t="s">
        <v>40</v>
      </c>
      <c r="H4" s="11" t="s">
        <v>491</v>
      </c>
      <c r="I4" s="11" t="s">
        <v>41</v>
      </c>
      <c r="J4" s="11" t="s">
        <v>492</v>
      </c>
      <c r="K4" s="11" t="s">
        <v>493</v>
      </c>
      <c r="L4" s="11" t="s">
        <v>49</v>
      </c>
      <c r="M4" s="11" t="s">
        <v>494</v>
      </c>
    </row>
    <row r="5" customFormat="false" ht="15" hidden="false" customHeight="false" outlineLevel="0" collapsed="false">
      <c r="A5" s="20" t="s">
        <v>495</v>
      </c>
      <c r="B5" s="21" t="s">
        <v>496</v>
      </c>
      <c r="C5" s="29" t="s">
        <v>304</v>
      </c>
      <c r="D5" s="22" t="n">
        <v>3</v>
      </c>
      <c r="E5" s="30" t="n">
        <f aca="false">INDEX(Prices!$I$5:$I$82,MATCH(C5,Prices!$A$5:$A$82,0))</f>
        <v>8.95</v>
      </c>
      <c r="F5" s="24" t="n">
        <f aca="false">D5*E5</f>
        <v>26.85</v>
      </c>
      <c r="G5" s="29" t="n">
        <f aca="false">INDEX(Prices!$E$5:$E$82,MATCH(C5,Prices!$A$5:$A$82,0))</f>
        <v>1</v>
      </c>
      <c r="H5" s="20" t="n">
        <f aca="false">IF(D5&lt;=0,0,CEILING(D5/G5,1))</f>
        <v>3</v>
      </c>
      <c r="I5" s="30" t="n">
        <f aca="false">INDEX(Prices!$H$5:$H$82,MATCH(C5,Prices!$A$5:$A$82,0))</f>
        <v>8.95</v>
      </c>
      <c r="J5" s="24" t="n">
        <f aca="false">H5*I5</f>
        <v>26.85</v>
      </c>
      <c r="K5" s="24" t="n">
        <f aca="false">IF(D5&lt;=0,0,IF(ISNUMBER(INDEX(Prices!$L$5:$L$82,MATCH(C5,Prices!$A$5:$A$82,0))),CEILING(D5/INDEX(Prices!$K$5:$K$82,MATCH(C5,Prices!$A$5:$A$82,0)),1)*INDEX(Prices!$L$5:$L$82,MATCH(C5,Prices!$A$5:$A$82,0)),J5))</f>
        <v>20.947521</v>
      </c>
      <c r="L5" s="21" t="s">
        <v>497</v>
      </c>
      <c r="M5" s="27" t="str">
        <f aca="false">IFERROR(IF(INDEX(Prices!$O$5:$O$82,MATCH(C5,Prices!$A$5:$A$82,0))="","",HYPERLINK(INDEX(Prices!$O$5:$O$82,MATCH(C5,Prices!$A$5:$A$82,0)),INDEX(Prices!$D$5:$D$82,MATCH(C5,Prices!$A$5:$A$82,0)))),"")</f>
        <v>PiShop.ca</v>
      </c>
    </row>
    <row r="6" customFormat="false" ht="15" hidden="false" customHeight="false" outlineLevel="0" collapsed="false">
      <c r="A6" s="20" t="s">
        <v>495</v>
      </c>
      <c r="B6" s="21" t="s">
        <v>498</v>
      </c>
      <c r="C6" s="29" t="s">
        <v>297</v>
      </c>
      <c r="D6" s="22" t="n">
        <v>2</v>
      </c>
      <c r="E6" s="30" t="n">
        <f aca="false">INDEX(Prices!$I$5:$I$82,MATCH(C6,Prices!$A$5:$A$82,0))</f>
        <v>6</v>
      </c>
      <c r="F6" s="24" t="n">
        <f aca="false">D6*E6</f>
        <v>12</v>
      </c>
      <c r="G6" s="29" t="n">
        <f aca="false">INDEX(Prices!$E$5:$E$82,MATCH(C6,Prices!$A$5:$A$82,0))</f>
        <v>1</v>
      </c>
      <c r="H6" s="20" t="n">
        <f aca="false">IF(D6&lt;=0,0,CEILING(D6/G6,1))</f>
        <v>2</v>
      </c>
      <c r="I6" s="30" t="n">
        <f aca="false">INDEX(Prices!$H$5:$H$82,MATCH(C6,Prices!$A$5:$A$82,0))</f>
        <v>6</v>
      </c>
      <c r="J6" s="24" t="n">
        <f aca="false">H6*I6</f>
        <v>12</v>
      </c>
      <c r="K6" s="24" t="n">
        <f aca="false">IF(D6&lt;=0,0,IF(ISNUMBER(INDEX(Prices!$L$5:$L$82,MATCH(C6,Prices!$A$5:$A$82,0))),CEILING(D6/INDEX(Prices!$K$5:$K$82,MATCH(C6,Prices!$A$5:$A$82,0)),1)*INDEX(Prices!$L$5:$L$82,MATCH(C6,Prices!$A$5:$A$82,0)),J6))</f>
        <v>6.43678</v>
      </c>
      <c r="L6" s="21"/>
      <c r="M6" s="27" t="str">
        <f aca="false">IFERROR(IF(INDEX(Prices!$O$5:$O$82,MATCH(C6,Prices!$A$5:$A$82,0))="","",HYPERLINK(INDEX(Prices!$O$5:$O$82,MATCH(C6,Prices!$A$5:$A$82,0)),INDEX(Prices!$D$5:$D$82,MATCH(C6,Prices!$A$5:$A$82,0)))),"")</f>
        <v>BC Robotics</v>
      </c>
    </row>
    <row r="7" customFormat="false" ht="15" hidden="false" customHeight="false" outlineLevel="0" collapsed="false">
      <c r="A7" s="20" t="s">
        <v>495</v>
      </c>
      <c r="B7" s="21" t="s">
        <v>499</v>
      </c>
      <c r="C7" s="29" t="s">
        <v>140</v>
      </c>
      <c r="D7" s="22" t="n">
        <v>1</v>
      </c>
      <c r="E7" s="30" t="n">
        <f aca="false">INDEX(Prices!$I$5:$I$82,MATCH(C7,Prices!$A$5:$A$82,0))</f>
        <v>9.86</v>
      </c>
      <c r="F7" s="24" t="n">
        <f aca="false">D7*E7</f>
        <v>9.86</v>
      </c>
      <c r="G7" s="29" t="n">
        <f aca="false">INDEX(Prices!$E$5:$E$82,MATCH(C7,Prices!$A$5:$A$82,0))</f>
        <v>1</v>
      </c>
      <c r="H7" s="20" t="n">
        <f aca="false">IF(D7&lt;=0,0,CEILING(D7/G7,1))</f>
        <v>1</v>
      </c>
      <c r="I7" s="30" t="n">
        <f aca="false">INDEX(Prices!$H$5:$H$82,MATCH(C7,Prices!$A$5:$A$82,0))</f>
        <v>9.86</v>
      </c>
      <c r="J7" s="24" t="n">
        <f aca="false">H7*I7</f>
        <v>9.86</v>
      </c>
      <c r="K7" s="24" t="n">
        <f aca="false">IF(D7&lt;=0,0,IF(ISNUMBER(INDEX(Prices!$L$5:$L$82,MATCH(C7,Prices!$A$5:$A$82,0))),CEILING(D7/INDEX(Prices!$K$5:$K$82,MATCH(C7,Prices!$A$5:$A$82,0)),1)*INDEX(Prices!$L$5:$L$82,MATCH(C7,Prices!$A$5:$A$82,0)),J7))</f>
        <v>9.86</v>
      </c>
      <c r="L7" s="21"/>
      <c r="M7" s="27" t="str">
        <f aca="false">IFERROR(IF(INDEX(Prices!$O$5:$O$82,MATCH(C7,Prices!$A$5:$A$82,0))="","",HYPERLINK(INDEX(Prices!$O$5:$O$82,MATCH(C7,Prices!$A$5:$A$82,0)),INDEX(Prices!$D$5:$D$82,MATCH(C7,Prices!$A$5:$A$82,0)))),"")</f>
        <v>Universal-Solder (CANADUINO)</v>
      </c>
    </row>
    <row r="8" customFormat="false" ht="15" hidden="false" customHeight="false" outlineLevel="0" collapsed="false">
      <c r="A8" s="20" t="s">
        <v>495</v>
      </c>
      <c r="B8" s="21" t="s">
        <v>500</v>
      </c>
      <c r="C8" s="29" t="s">
        <v>60</v>
      </c>
      <c r="D8" s="22" t="n">
        <v>0</v>
      </c>
      <c r="E8" s="30" t="n">
        <f aca="false">INDEX(Prices!$I$5:$I$82,MATCH(C8,Prices!$A$5:$A$82,0))</f>
        <v>249.99</v>
      </c>
      <c r="F8" s="24" t="n">
        <f aca="false">D8*E8</f>
        <v>0</v>
      </c>
      <c r="G8" s="29" t="n">
        <f aca="false">INDEX(Prices!$E$5:$E$82,MATCH(C8,Prices!$A$5:$A$82,0))</f>
        <v>1</v>
      </c>
      <c r="H8" s="20" t="n">
        <f aca="false">IF(D8&lt;=0,0,CEILING(D8/G8,1))</f>
        <v>0</v>
      </c>
      <c r="I8" s="30" t="n">
        <f aca="false">INDEX(Prices!$H$5:$H$82,MATCH(C8,Prices!$A$5:$A$82,0))</f>
        <v>249.99</v>
      </c>
      <c r="J8" s="24" t="n">
        <f aca="false">H8*I8</f>
        <v>0</v>
      </c>
      <c r="K8" s="24" t="n">
        <f aca="false">IF(D8&lt;=0,0,IF(ISNUMBER(INDEX(Prices!$L$5:$L$82,MATCH(C8,Prices!$A$5:$A$82,0))),CEILING(D8/INDEX(Prices!$K$5:$K$82,MATCH(C8,Prices!$A$5:$A$82,0)),1)*INDEX(Prices!$L$5:$L$82,MATCH(C8,Prices!$A$5:$A$82,0)),J8))</f>
        <v>0</v>
      </c>
      <c r="L8" s="21" t="s">
        <v>501</v>
      </c>
      <c r="M8" s="27" t="str">
        <f aca="false">IFERROR(IF(INDEX(Prices!$O$5:$O$82,MATCH(C8,Prices!$A$5:$A$82,0))="","",HYPERLINK(INDEX(Prices!$O$5:$O$82,MATCH(C8,Prices!$A$5:$A$82,0)),INDEX(Prices!$D$5:$D$82,MATCH(C8,Prices!$A$5:$A$82,0)))),"")</f>
        <v>Canada Computers</v>
      </c>
    </row>
    <row r="9" customFormat="false" ht="15" hidden="false" customHeight="false" outlineLevel="0" collapsed="false">
      <c r="A9" s="20" t="s">
        <v>502</v>
      </c>
      <c r="B9" s="21" t="s">
        <v>503</v>
      </c>
      <c r="C9" s="29" t="s">
        <v>345</v>
      </c>
      <c r="D9" s="22" t="n">
        <v>1</v>
      </c>
      <c r="E9" s="30" t="n">
        <f aca="false">INDEX(Prices!$I$5:$I$82,MATCH(C9,Prices!$A$5:$A$82,0))</f>
        <v>27.13</v>
      </c>
      <c r="F9" s="24" t="n">
        <f aca="false">D9*E9</f>
        <v>27.13</v>
      </c>
      <c r="G9" s="29" t="n">
        <f aca="false">INDEX(Prices!$E$5:$E$82,MATCH(C9,Prices!$A$5:$A$82,0))</f>
        <v>1</v>
      </c>
      <c r="H9" s="20" t="n">
        <f aca="false">IF(D9&lt;=0,0,CEILING(D9/G9,1))</f>
        <v>1</v>
      </c>
      <c r="I9" s="30" t="n">
        <f aca="false">INDEX(Prices!$H$5:$H$82,MATCH(C9,Prices!$A$5:$A$82,0))</f>
        <v>27.13</v>
      </c>
      <c r="J9" s="24" t="n">
        <f aca="false">H9*I9</f>
        <v>27.13</v>
      </c>
      <c r="K9" s="24" t="n">
        <f aca="false">IF(D9&lt;=0,0,IF(ISNUMBER(INDEX(Prices!$L$5:$L$82,MATCH(C9,Prices!$A$5:$A$82,0))),CEILING(D9/INDEX(Prices!$K$5:$K$82,MATCH(C9,Prices!$A$5:$A$82,0)),1)*INDEX(Prices!$L$5:$L$82,MATCH(C9,Prices!$A$5:$A$82,0)),J9))</f>
        <v>27.13</v>
      </c>
      <c r="L9" s="21"/>
      <c r="M9" s="27" t="str">
        <f aca="false">IFERROR(IF(INDEX(Prices!$O$5:$O$82,MATCH(C9,Prices!$A$5:$A$82,0))="","",HYPERLINK(INDEX(Prices!$O$5:$O$82,MATCH(C9,Prices!$A$5:$A$82,0)),INDEX(Prices!$D$5:$D$82,MATCH(C9,Prices!$A$5:$A$82,0)))),"")</f>
        <v>RobotShop CA</v>
      </c>
    </row>
    <row r="10" customFormat="false" ht="15" hidden="false" customHeight="false" outlineLevel="0" collapsed="false">
      <c r="A10" s="20" t="s">
        <v>502</v>
      </c>
      <c r="B10" s="21" t="s">
        <v>504</v>
      </c>
      <c r="C10" s="29" t="s">
        <v>118</v>
      </c>
      <c r="D10" s="22" t="n">
        <v>1</v>
      </c>
      <c r="E10" s="30" t="n">
        <f aca="false">INDEX(Prices!$I$5:$I$82,MATCH(C10,Prices!$A$5:$A$82,0))</f>
        <v>1.95</v>
      </c>
      <c r="F10" s="24" t="n">
        <f aca="false">D10*E10</f>
        <v>1.95</v>
      </c>
      <c r="G10" s="29" t="n">
        <f aca="false">INDEX(Prices!$E$5:$E$82,MATCH(C10,Prices!$A$5:$A$82,0))</f>
        <v>1</v>
      </c>
      <c r="H10" s="20" t="n">
        <f aca="false">IF(D10&lt;=0,0,CEILING(D10/G10,1))</f>
        <v>1</v>
      </c>
      <c r="I10" s="30" t="n">
        <f aca="false">INDEX(Prices!$H$5:$H$82,MATCH(C10,Prices!$A$5:$A$82,0))</f>
        <v>1.95</v>
      </c>
      <c r="J10" s="24" t="n">
        <f aca="false">H10*I10</f>
        <v>1.95</v>
      </c>
      <c r="K10" s="24" t="n">
        <f aca="false">IF(D10&lt;=0,0,IF(ISNUMBER(INDEX(Prices!$L$5:$L$82,MATCH(C10,Prices!$A$5:$A$82,0))),CEILING(D10/INDEX(Prices!$K$5:$K$82,MATCH(C10,Prices!$A$5:$A$82,0)),1)*INDEX(Prices!$L$5:$L$82,MATCH(C10,Prices!$A$5:$A$82,0)),J10))</f>
        <v>1.95</v>
      </c>
      <c r="L10" s="21"/>
      <c r="M10" s="27" t="str">
        <f aca="false">IFERROR(IF(INDEX(Prices!$O$5:$O$82,MATCH(C10,Prices!$A$5:$A$82,0))="","",HYPERLINK(INDEX(Prices!$O$5:$O$82,MATCH(C10,Prices!$A$5:$A$82,0)),INDEX(Prices!$D$5:$D$82,MATCH(C10,Prices!$A$5:$A$82,0)))),"")</f>
        <v>BC Robotics</v>
      </c>
    </row>
    <row r="11" customFormat="false" ht="15" hidden="false" customHeight="false" outlineLevel="0" collapsed="false">
      <c r="A11" s="20" t="s">
        <v>502</v>
      </c>
      <c r="B11" s="21" t="s">
        <v>505</v>
      </c>
      <c r="C11" s="29" t="s">
        <v>124</v>
      </c>
      <c r="D11" s="22" t="n">
        <v>1</v>
      </c>
      <c r="E11" s="30" t="n">
        <f aca="false">INDEX(Prices!$I$5:$I$82,MATCH(C11,Prices!$A$5:$A$82,0))</f>
        <v>4.95</v>
      </c>
      <c r="F11" s="24" t="n">
        <f aca="false">D11*E11</f>
        <v>4.95</v>
      </c>
      <c r="G11" s="29" t="n">
        <f aca="false">INDEX(Prices!$E$5:$E$82,MATCH(C11,Prices!$A$5:$A$82,0))</f>
        <v>1</v>
      </c>
      <c r="H11" s="20" t="n">
        <f aca="false">IF(D11&lt;=0,0,CEILING(D11/G11,1))</f>
        <v>1</v>
      </c>
      <c r="I11" s="30" t="n">
        <f aca="false">INDEX(Prices!$H$5:$H$82,MATCH(C11,Prices!$A$5:$A$82,0))</f>
        <v>4.95</v>
      </c>
      <c r="J11" s="24" t="n">
        <f aca="false">H11*I11</f>
        <v>4.95</v>
      </c>
      <c r="K11" s="24" t="n">
        <f aca="false">IF(D11&lt;=0,0,IF(ISNUMBER(INDEX(Prices!$L$5:$L$82,MATCH(C11,Prices!$A$5:$A$82,0))),CEILING(D11/INDEX(Prices!$K$5:$K$82,MATCH(C11,Prices!$A$5:$A$82,0)),1)*INDEX(Prices!$L$5:$L$82,MATCH(C11,Prices!$A$5:$A$82,0)),J11))</f>
        <v>4.95</v>
      </c>
      <c r="L11" s="21"/>
      <c r="M11" s="27" t="str">
        <f aca="false">IFERROR(IF(INDEX(Prices!$O$5:$O$82,MATCH(C11,Prices!$A$5:$A$82,0))="","",HYPERLINK(INDEX(Prices!$O$5:$O$82,MATCH(C11,Prices!$A$5:$A$82,0)),INDEX(Prices!$D$5:$D$82,MATCH(C11,Prices!$A$5:$A$82,0)))),"")</f>
        <v>BC Robotics</v>
      </c>
    </row>
    <row r="12" customFormat="false" ht="15" hidden="false" customHeight="false" outlineLevel="0" collapsed="false">
      <c r="A12" s="20" t="s">
        <v>502</v>
      </c>
      <c r="B12" s="21" t="s">
        <v>506</v>
      </c>
      <c r="C12" s="29" t="s">
        <v>152</v>
      </c>
      <c r="D12" s="22" t="n">
        <v>1</v>
      </c>
      <c r="E12" s="30" t="n">
        <f aca="false">INDEX(Prices!$I$5:$I$82,MATCH(C12,Prices!$A$5:$A$82,0))</f>
        <v>6.945</v>
      </c>
      <c r="F12" s="24" t="n">
        <f aca="false">D12*E12</f>
        <v>6.945</v>
      </c>
      <c r="G12" s="29" t="n">
        <f aca="false">INDEX(Prices!$E$5:$E$82,MATCH(C12,Prices!$A$5:$A$82,0))</f>
        <v>2</v>
      </c>
      <c r="H12" s="20" t="n">
        <f aca="false">IF(D12&lt;=0,0,CEILING(D12/G12,1))</f>
        <v>1</v>
      </c>
      <c r="I12" s="30" t="n">
        <f aca="false">INDEX(Prices!$H$5:$H$82,MATCH(C12,Prices!$A$5:$A$82,0))</f>
        <v>13.89</v>
      </c>
      <c r="J12" s="24" t="n">
        <f aca="false">H12*I12</f>
        <v>13.89</v>
      </c>
      <c r="K12" s="24" t="n">
        <f aca="false">IF(D12&lt;=0,0,IF(ISNUMBER(INDEX(Prices!$L$5:$L$82,MATCH(C12,Prices!$A$5:$A$82,0))),CEILING(D12/INDEX(Prices!$K$5:$K$82,MATCH(C12,Prices!$A$5:$A$82,0)),1)*INDEX(Prices!$L$5:$L$82,MATCH(C12,Prices!$A$5:$A$82,0)),J12))</f>
        <v>13.89</v>
      </c>
      <c r="L12" s="21"/>
      <c r="M12" s="27" t="str">
        <f aca="false">IFERROR(IF(INDEX(Prices!$O$5:$O$82,MATCH(C12,Prices!$A$5:$A$82,0))="","",HYPERLINK(INDEX(Prices!$O$5:$O$82,MATCH(C12,Prices!$A$5:$A$82,0)),INDEX(Prices!$D$5:$D$82,MATCH(C12,Prices!$A$5:$A$82,0)))),"")</f>
        <v>BC Robotics + Partsource</v>
      </c>
    </row>
    <row r="13" customFormat="false" ht="23.85" hidden="false" customHeight="false" outlineLevel="0" collapsed="false">
      <c r="A13" s="20" t="s">
        <v>502</v>
      </c>
      <c r="B13" s="21" t="s">
        <v>507</v>
      </c>
      <c r="C13" s="29" t="s">
        <v>395</v>
      </c>
      <c r="D13" s="22" t="n">
        <v>1</v>
      </c>
      <c r="E13" s="30" t="n">
        <f aca="false">INDEX(Prices!$I$5:$I$82,MATCH(C13,Prices!$A$5:$A$82,0))</f>
        <v>7.54</v>
      </c>
      <c r="F13" s="24" t="n">
        <f aca="false">D13*E13</f>
        <v>7.54</v>
      </c>
      <c r="G13" s="29" t="n">
        <f aca="false">INDEX(Prices!$E$5:$E$82,MATCH(C13,Prices!$A$5:$A$82,0))</f>
        <v>1</v>
      </c>
      <c r="H13" s="20" t="n">
        <f aca="false">IF(D13&lt;=0,0,CEILING(D13/G13,1))</f>
        <v>1</v>
      </c>
      <c r="I13" s="30" t="n">
        <f aca="false">INDEX(Prices!$H$5:$H$82,MATCH(C13,Prices!$A$5:$A$82,0))</f>
        <v>7.54</v>
      </c>
      <c r="J13" s="24" t="n">
        <f aca="false">H13*I13</f>
        <v>7.54</v>
      </c>
      <c r="K13" s="24" t="n">
        <f aca="false">IF(D13&lt;=0,0,IF(ISNUMBER(INDEX(Prices!$L$5:$L$82,MATCH(C13,Prices!$A$5:$A$82,0))),CEILING(D13/INDEX(Prices!$K$5:$K$82,MATCH(C13,Prices!$A$5:$A$82,0)),1)*INDEX(Prices!$L$5:$L$82,MATCH(C13,Prices!$A$5:$A$82,0)),J13))</f>
        <v>6</v>
      </c>
      <c r="L13" s="21" t="s">
        <v>508</v>
      </c>
      <c r="M13" s="27" t="str">
        <f aca="false">IFERROR(IF(INDEX(Prices!$O$5:$O$82,MATCH(C13,Prices!$A$5:$A$82,0))="","",HYPERLINK(INDEX(Prices!$O$5:$O$82,MATCH(C13,Prices!$A$5:$A$82,0)),INDEX(Prices!$D$5:$D$82,MATCH(C13,Prices!$A$5:$A$82,0)))),"")</f>
        <v>Solarbotics (Calgary AB) + Universal-Solder / CANADUINO</v>
      </c>
    </row>
    <row r="14" customFormat="false" ht="15" hidden="false" customHeight="false" outlineLevel="0" collapsed="false">
      <c r="A14" s="20" t="s">
        <v>502</v>
      </c>
      <c r="B14" s="21" t="s">
        <v>509</v>
      </c>
      <c r="C14" s="29" t="s">
        <v>459</v>
      </c>
      <c r="D14" s="22" t="n">
        <v>1</v>
      </c>
      <c r="E14" s="30" t="n">
        <f aca="false">INDEX(Prices!$I$5:$I$82,MATCH(C14,Prices!$A$5:$A$82,0))</f>
        <v>5.62</v>
      </c>
      <c r="F14" s="24" t="n">
        <f aca="false">D14*E14</f>
        <v>5.62</v>
      </c>
      <c r="G14" s="29" t="n">
        <f aca="false">INDEX(Prices!$E$5:$E$82,MATCH(C14,Prices!$A$5:$A$82,0))</f>
        <v>1</v>
      </c>
      <c r="H14" s="20" t="n">
        <f aca="false">IF(D14&lt;=0,0,CEILING(D14/G14,1))</f>
        <v>1</v>
      </c>
      <c r="I14" s="30" t="n">
        <f aca="false">INDEX(Prices!$H$5:$H$82,MATCH(C14,Prices!$A$5:$A$82,0))</f>
        <v>5.62</v>
      </c>
      <c r="J14" s="24" t="n">
        <f aca="false">H14*I14</f>
        <v>5.62</v>
      </c>
      <c r="K14" s="24" t="n">
        <f aca="false">IF(D14&lt;=0,0,IF(ISNUMBER(INDEX(Prices!$L$5:$L$82,MATCH(C14,Prices!$A$5:$A$82,0))),CEILING(D14/INDEX(Prices!$K$5:$K$82,MATCH(C14,Prices!$A$5:$A$82,0)),1)*INDEX(Prices!$L$5:$L$82,MATCH(C14,Prices!$A$5:$A$82,0)),J14))</f>
        <v>5.62</v>
      </c>
      <c r="L14" s="21" t="s">
        <v>510</v>
      </c>
      <c r="M14" s="27" t="str">
        <f aca="false">IFERROR(IF(INDEX(Prices!$O$5:$O$82,MATCH(C14,Prices!$A$5:$A$82,0))="","",HYPERLINK(INDEX(Prices!$O$5:$O$82,MATCH(C14,Prices!$A$5:$A$82,0)),INDEX(Prices!$D$5:$D$82,MATCH(C14,Prices!$A$5:$A$82,0)))),"")</f>
        <v>RobotShop CA</v>
      </c>
    </row>
    <row r="15" customFormat="false" ht="15" hidden="false" customHeight="false" outlineLevel="0" collapsed="false">
      <c r="A15" s="20" t="s">
        <v>502</v>
      </c>
      <c r="B15" s="21" t="s">
        <v>511</v>
      </c>
      <c r="C15" s="29" t="s">
        <v>66</v>
      </c>
      <c r="D15" s="22" t="n">
        <v>1</v>
      </c>
      <c r="E15" s="30" t="n">
        <f aca="false">INDEX(Prices!$I$5:$I$82,MATCH(C15,Prices!$A$5:$A$82,0))</f>
        <v>0.71</v>
      </c>
      <c r="F15" s="24" t="n">
        <f aca="false">D15*E15</f>
        <v>0.71</v>
      </c>
      <c r="G15" s="29" t="n">
        <f aca="false">INDEX(Prices!$E$5:$E$82,MATCH(C15,Prices!$A$5:$A$82,0))</f>
        <v>1</v>
      </c>
      <c r="H15" s="20" t="n">
        <f aca="false">IF(D15&lt;=0,0,CEILING(D15/G15,1))</f>
        <v>1</v>
      </c>
      <c r="I15" s="30" t="n">
        <f aca="false">INDEX(Prices!$H$5:$H$82,MATCH(C15,Prices!$A$5:$A$82,0))</f>
        <v>0.71</v>
      </c>
      <c r="J15" s="24" t="n">
        <f aca="false">H15*I15</f>
        <v>0.71</v>
      </c>
      <c r="K15" s="24" t="n">
        <f aca="false">IF(D15&lt;=0,0,IF(ISNUMBER(INDEX(Prices!$L$5:$L$82,MATCH(C15,Prices!$A$5:$A$82,0))),CEILING(D15/INDEX(Prices!$K$5:$K$82,MATCH(C15,Prices!$A$5:$A$82,0)),1)*INDEX(Prices!$L$5:$L$82,MATCH(C15,Prices!$A$5:$A$82,0)),J15))</f>
        <v>0.71</v>
      </c>
      <c r="L15" s="21"/>
      <c r="M15" s="27" t="str">
        <f aca="false">IFERROR(IF(INDEX(Prices!$O$5:$O$82,MATCH(C15,Prices!$A$5:$A$82,0))="","",HYPERLINK(INDEX(Prices!$O$5:$O$82,MATCH(C15,Prices!$A$5:$A$82,0)),INDEX(Prices!$D$5:$D$82,MATCH(C15,Prices!$A$5:$A$82,0)))),"")</f>
        <v>RobotShop (Canada)</v>
      </c>
    </row>
    <row r="16" customFormat="false" ht="15" hidden="false" customHeight="false" outlineLevel="0" collapsed="false">
      <c r="A16" s="20" t="s">
        <v>502</v>
      </c>
      <c r="B16" s="21" t="s">
        <v>512</v>
      </c>
      <c r="C16" s="29" t="s">
        <v>430</v>
      </c>
      <c r="D16" s="22" t="n">
        <v>1</v>
      </c>
      <c r="E16" s="30" t="n">
        <f aca="false">INDEX(Prices!$I$5:$I$82,MATCH(C16,Prices!$A$5:$A$82,0))</f>
        <v>0.72</v>
      </c>
      <c r="F16" s="24" t="n">
        <f aca="false">D16*E16</f>
        <v>0.72</v>
      </c>
      <c r="G16" s="29" t="n">
        <f aca="false">INDEX(Prices!$E$5:$E$82,MATCH(C16,Prices!$A$5:$A$82,0))</f>
        <v>1</v>
      </c>
      <c r="H16" s="20" t="n">
        <f aca="false">IF(D16&lt;=0,0,CEILING(D16/G16,1))</f>
        <v>1</v>
      </c>
      <c r="I16" s="30" t="n">
        <f aca="false">INDEX(Prices!$H$5:$H$82,MATCH(C16,Prices!$A$5:$A$82,0))</f>
        <v>0.72</v>
      </c>
      <c r="J16" s="24" t="n">
        <f aca="false">H16*I16</f>
        <v>0.72</v>
      </c>
      <c r="K16" s="24" t="n">
        <f aca="false">IF(D16&lt;=0,0,IF(ISNUMBER(INDEX(Prices!$L$5:$L$82,MATCH(C16,Prices!$A$5:$A$82,0))),CEILING(D16/INDEX(Prices!$K$5:$K$82,MATCH(C16,Prices!$A$5:$A$82,0)),1)*INDEX(Prices!$L$5:$L$82,MATCH(C16,Prices!$A$5:$A$82,0)),J16))</f>
        <v>0.72</v>
      </c>
      <c r="L16" s="21" t="s">
        <v>513</v>
      </c>
      <c r="M16" s="27" t="str">
        <f aca="false">IFERROR(IF(INDEX(Prices!$O$5:$O$82,MATCH(C16,Prices!$A$5:$A$82,0))="","",HYPERLINK(INDEX(Prices!$O$5:$O$82,MATCH(C16,Prices!$A$5:$A$82,0)),INDEX(Prices!$D$5:$D$82,MATCH(C16,Prices!$A$5:$A$82,0)))),"")</f>
        <v>Mouser (Canada)</v>
      </c>
    </row>
    <row r="17" customFormat="false" ht="15" hidden="false" customHeight="false" outlineLevel="0" collapsed="false">
      <c r="A17" s="20" t="s">
        <v>514</v>
      </c>
      <c r="B17" s="21" t="s">
        <v>515</v>
      </c>
      <c r="C17" s="29" t="s">
        <v>390</v>
      </c>
      <c r="D17" s="22" t="n">
        <v>2</v>
      </c>
      <c r="E17" s="30" t="n">
        <f aca="false">INDEX(Prices!$I$5:$I$82,MATCH(C17,Prices!$A$5:$A$82,0))</f>
        <v>1.36</v>
      </c>
      <c r="F17" s="24" t="n">
        <f aca="false">D17*E17</f>
        <v>2.72</v>
      </c>
      <c r="G17" s="29" t="n">
        <f aca="false">INDEX(Prices!$E$5:$E$82,MATCH(C17,Prices!$A$5:$A$82,0))</f>
        <v>1</v>
      </c>
      <c r="H17" s="20" t="n">
        <f aca="false">IF(D17&lt;=0,0,CEILING(D17/G17,1))</f>
        <v>2</v>
      </c>
      <c r="I17" s="30" t="n">
        <f aca="false">INDEX(Prices!$H$5:$H$82,MATCH(C17,Prices!$A$5:$A$82,0))</f>
        <v>1.36</v>
      </c>
      <c r="J17" s="24" t="n">
        <f aca="false">H17*I17</f>
        <v>2.72</v>
      </c>
      <c r="K17" s="24" t="n">
        <f aca="false">IF(D17&lt;=0,0,IF(ISNUMBER(INDEX(Prices!$L$5:$L$82,MATCH(C17,Prices!$A$5:$A$82,0))),CEILING(D17/INDEX(Prices!$K$5:$K$82,MATCH(C17,Prices!$A$5:$A$82,0)),1)*INDEX(Prices!$L$5:$L$82,MATCH(C17,Prices!$A$5:$A$82,0)),J17))</f>
        <v>2.72</v>
      </c>
      <c r="L17" s="21" t="s">
        <v>516</v>
      </c>
      <c r="M17" s="27" t="str">
        <f aca="false">IFERROR(IF(INDEX(Prices!$O$5:$O$82,MATCH(C17,Prices!$A$5:$A$82,0))="","",HYPERLINK(INDEX(Prices!$O$5:$O$82,MATCH(C17,Prices!$A$5:$A$82,0)),INDEX(Prices!$D$5:$D$82,MATCH(C17,Prices!$A$5:$A$82,0)))),"")</f>
        <v>RobotShop (Canada)</v>
      </c>
    </row>
    <row r="18" customFormat="false" ht="15" hidden="false" customHeight="false" outlineLevel="0" collapsed="false">
      <c r="A18" s="20" t="s">
        <v>514</v>
      </c>
      <c r="B18" s="21" t="s">
        <v>517</v>
      </c>
      <c r="C18" s="29" t="s">
        <v>385</v>
      </c>
      <c r="D18" s="22" t="n">
        <v>1</v>
      </c>
      <c r="E18" s="30" t="n">
        <f aca="false">INDEX(Prices!$I$5:$I$82,MATCH(C18,Prices!$A$5:$A$82,0))</f>
        <v>3.06</v>
      </c>
      <c r="F18" s="24" t="n">
        <f aca="false">D18*E18</f>
        <v>3.06</v>
      </c>
      <c r="G18" s="29" t="n">
        <f aca="false">INDEX(Prices!$E$5:$E$82,MATCH(C18,Prices!$A$5:$A$82,0))</f>
        <v>1</v>
      </c>
      <c r="H18" s="20" t="n">
        <f aca="false">IF(D18&lt;=0,0,CEILING(D18/G18,1))</f>
        <v>1</v>
      </c>
      <c r="I18" s="30" t="n">
        <f aca="false">INDEX(Prices!$H$5:$H$82,MATCH(C18,Prices!$A$5:$A$82,0))</f>
        <v>3.06</v>
      </c>
      <c r="J18" s="24" t="n">
        <f aca="false">H18*I18</f>
        <v>3.06</v>
      </c>
      <c r="K18" s="24" t="n">
        <f aca="false">IF(D18&lt;=0,0,IF(ISNUMBER(INDEX(Prices!$L$5:$L$82,MATCH(C18,Prices!$A$5:$A$82,0))),CEILING(D18/INDEX(Prices!$K$5:$K$82,MATCH(C18,Prices!$A$5:$A$82,0)),1)*INDEX(Prices!$L$5:$L$82,MATCH(C18,Prices!$A$5:$A$82,0)),J18))</f>
        <v>3.06</v>
      </c>
      <c r="L18" s="21"/>
      <c r="M18" s="27" t="str">
        <f aca="false">IFERROR(IF(INDEX(Prices!$O$5:$O$82,MATCH(C18,Prices!$A$5:$A$82,0))="","",HYPERLINK(INDEX(Prices!$O$5:$O$82,MATCH(C18,Prices!$A$5:$A$82,0)),INDEX(Prices!$D$5:$D$82,MATCH(C18,Prices!$A$5:$A$82,0)))),"")</f>
        <v>RobotShop (Canada)</v>
      </c>
    </row>
    <row r="19" customFormat="false" ht="15" hidden="false" customHeight="false" outlineLevel="0" collapsed="false">
      <c r="A19" s="20" t="s">
        <v>514</v>
      </c>
      <c r="B19" s="21" t="s">
        <v>518</v>
      </c>
      <c r="C19" s="29" t="s">
        <v>190</v>
      </c>
      <c r="D19" s="22" t="n">
        <v>5</v>
      </c>
      <c r="E19" s="30" t="n">
        <f aca="false">INDEX(Prices!$I$5:$I$82,MATCH(C19,Prices!$A$5:$A$82,0))</f>
        <v>0.1425</v>
      </c>
      <c r="F19" s="24" t="n">
        <f aca="false">D19*E19</f>
        <v>0.7125</v>
      </c>
      <c r="G19" s="29" t="n">
        <f aca="false">INDEX(Prices!$E$5:$E$82,MATCH(C19,Prices!$A$5:$A$82,0))</f>
        <v>40</v>
      </c>
      <c r="H19" s="20" t="n">
        <f aca="false">IF(D19&lt;=0,0,CEILING(D19/G19,1))</f>
        <v>1</v>
      </c>
      <c r="I19" s="30" t="n">
        <f aca="false">INDEX(Prices!$H$5:$H$82,MATCH(C19,Prices!$A$5:$A$82,0))</f>
        <v>5.7</v>
      </c>
      <c r="J19" s="24" t="n">
        <f aca="false">H19*I19</f>
        <v>5.7</v>
      </c>
      <c r="K19" s="24" t="n">
        <f aca="false">IF(D19&lt;=0,0,IF(ISNUMBER(INDEX(Prices!$L$5:$L$82,MATCH(C19,Prices!$A$5:$A$82,0))),CEILING(D19/INDEX(Prices!$K$5:$K$82,MATCH(C19,Prices!$A$5:$A$82,0)),1)*INDEX(Prices!$L$5:$L$82,MATCH(C19,Prices!$A$5:$A$82,0)),J19))</f>
        <v>5.7</v>
      </c>
      <c r="L19" s="21"/>
      <c r="M19" s="27" t="str">
        <f aca="false">IFERROR(IF(INDEX(Prices!$O$5:$O$82,MATCH(C19,Prices!$A$5:$A$82,0))="","",HYPERLINK(INDEX(Prices!$O$5:$O$82,MATCH(C19,Prices!$A$5:$A$82,0)),INDEX(Prices!$D$5:$D$82,MATCH(C19,Prices!$A$5:$A$82,0)))),"")</f>
        <v>RobotShop (Canada)</v>
      </c>
    </row>
    <row r="20" customFormat="false" ht="15" hidden="false" customHeight="false" outlineLevel="0" collapsed="false">
      <c r="A20" s="20" t="s">
        <v>514</v>
      </c>
      <c r="B20" s="21" t="s">
        <v>519</v>
      </c>
      <c r="C20" s="29" t="s">
        <v>360</v>
      </c>
      <c r="D20" s="22" t="n">
        <v>0.1</v>
      </c>
      <c r="E20" s="30" t="n">
        <f aca="false">INDEX(Prices!$I$5:$I$82,MATCH(C20,Prices!$A$5:$A$82,0))</f>
        <v>12.95</v>
      </c>
      <c r="F20" s="24" t="n">
        <f aca="false">D20*E20</f>
        <v>1.295</v>
      </c>
      <c r="G20" s="29" t="n">
        <f aca="false">INDEX(Prices!$E$5:$E$82,MATCH(C20,Prices!$A$5:$A$82,0))</f>
        <v>1</v>
      </c>
      <c r="H20" s="20" t="n">
        <f aca="false">IF(D20&lt;=0,0,CEILING(D20/G20,1))</f>
        <v>1</v>
      </c>
      <c r="I20" s="30" t="n">
        <f aca="false">INDEX(Prices!$H$5:$H$82,MATCH(C20,Prices!$A$5:$A$82,0))</f>
        <v>12.95</v>
      </c>
      <c r="J20" s="24" t="n">
        <f aca="false">H20*I20</f>
        <v>12.95</v>
      </c>
      <c r="K20" s="24" t="n">
        <f aca="false">IF(D20&lt;=0,0,IF(ISNUMBER(INDEX(Prices!$L$5:$L$82,MATCH(C20,Prices!$A$5:$A$82,0))),CEILING(D20/INDEX(Prices!$K$5:$K$82,MATCH(C20,Prices!$A$5:$A$82,0)),1)*INDEX(Prices!$L$5:$L$82,MATCH(C20,Prices!$A$5:$A$82,0)),J20))</f>
        <v>12.95</v>
      </c>
      <c r="L20" s="21" t="s">
        <v>520</v>
      </c>
      <c r="M20" s="27" t="str">
        <f aca="false">IFERROR(IF(INDEX(Prices!$O$5:$O$82,MATCH(C20,Prices!$A$5:$A$82,0))="","",HYPERLINK(INDEX(Prices!$O$5:$O$82,MATCH(C20,Prices!$A$5:$A$82,0)),INDEX(Prices!$D$5:$D$82,MATCH(C20,Prices!$A$5:$A$82,0)))),"")</f>
        <v>BC Robotics</v>
      </c>
    </row>
    <row r="21" customFormat="false" ht="15" hidden="false" customHeight="false" outlineLevel="0" collapsed="false">
      <c r="A21" s="20" t="s">
        <v>514</v>
      </c>
      <c r="B21" s="21" t="s">
        <v>521</v>
      </c>
      <c r="C21" s="29" t="s">
        <v>447</v>
      </c>
      <c r="D21" s="22" t="n">
        <v>1</v>
      </c>
      <c r="E21" s="30" t="n">
        <f aca="false">INDEX(Prices!$I$5:$I$82,MATCH(C21,Prices!$A$5:$A$82,0))</f>
        <v>23.99</v>
      </c>
      <c r="F21" s="24" t="n">
        <f aca="false">D21*E21</f>
        <v>23.99</v>
      </c>
      <c r="G21" s="29" t="n">
        <f aca="false">INDEX(Prices!$E$5:$E$82,MATCH(C21,Prices!$A$5:$A$82,0))</f>
        <v>1</v>
      </c>
      <c r="H21" s="20" t="n">
        <f aca="false">IF(D21&lt;=0,0,CEILING(D21/G21,1))</f>
        <v>1</v>
      </c>
      <c r="I21" s="30" t="n">
        <f aca="false">INDEX(Prices!$H$5:$H$82,MATCH(C21,Prices!$A$5:$A$82,0))</f>
        <v>23.99</v>
      </c>
      <c r="J21" s="24" t="n">
        <f aca="false">H21*I21</f>
        <v>23.99</v>
      </c>
      <c r="K21" s="24" t="n">
        <f aca="false">IF(D21&lt;=0,0,IF(ISNUMBER(INDEX(Prices!$L$5:$L$82,MATCH(C21,Prices!$A$5:$A$82,0))),CEILING(D21/INDEX(Prices!$K$5:$K$82,MATCH(C21,Prices!$A$5:$A$82,0)),1)*INDEX(Prices!$L$5:$L$82,MATCH(C21,Prices!$A$5:$A$82,0)),J21))</f>
        <v>8</v>
      </c>
      <c r="L21" s="21"/>
      <c r="M21" s="27" t="str">
        <f aca="false">IFERROR(IF(INDEX(Prices!$O$5:$O$82,MATCH(C21,Prices!$A$5:$A$82,0))="","",HYPERLINK(INDEX(Prices!$O$5:$O$82,MATCH(C21,Prices!$A$5:$A$82,0)),INDEX(Prices!$D$5:$D$82,MATCH(C21,Prices!$A$5:$A$82,0)))),"")</f>
        <v>Staples Canada</v>
      </c>
    </row>
    <row r="22" customFormat="false" ht="15" hidden="false" customHeight="false" outlineLevel="0" collapsed="false">
      <c r="A22" s="20" t="s">
        <v>514</v>
      </c>
      <c r="B22" s="21" t="s">
        <v>522</v>
      </c>
      <c r="C22" s="29" t="s">
        <v>442</v>
      </c>
      <c r="D22" s="22" t="n">
        <v>1</v>
      </c>
      <c r="E22" s="30" t="n">
        <f aca="false">INDEX(Prices!$I$5:$I$82,MATCH(C22,Prices!$A$5:$A$82,0))</f>
        <v>15</v>
      </c>
      <c r="F22" s="24" t="n">
        <f aca="false">D22*E22</f>
        <v>15</v>
      </c>
      <c r="G22" s="29" t="n">
        <f aca="false">INDEX(Prices!$E$5:$E$82,MATCH(C22,Prices!$A$5:$A$82,0))</f>
        <v>1</v>
      </c>
      <c r="H22" s="20" t="n">
        <f aca="false">IF(D22&lt;=0,0,CEILING(D22/G22,1))</f>
        <v>1</v>
      </c>
      <c r="I22" s="30" t="n">
        <f aca="false">INDEX(Prices!$H$5:$H$82,MATCH(C22,Prices!$A$5:$A$82,0))</f>
        <v>15</v>
      </c>
      <c r="J22" s="24" t="n">
        <f aca="false">H22*I22</f>
        <v>15</v>
      </c>
      <c r="K22" s="24" t="n">
        <f aca="false">IF(D22&lt;=0,0,IF(ISNUMBER(INDEX(Prices!$L$5:$L$82,MATCH(C22,Prices!$A$5:$A$82,0))),CEILING(D22/INDEX(Prices!$K$5:$K$82,MATCH(C22,Prices!$A$5:$A$82,0)),1)*INDEX(Prices!$L$5:$L$82,MATCH(C22,Prices!$A$5:$A$82,0)),J22))</f>
        <v>15</v>
      </c>
      <c r="L22" s="21" t="s">
        <v>523</v>
      </c>
      <c r="M22" s="27" t="str">
        <f aca="false">IFERROR(IF(INDEX(Prices!$O$5:$O$82,MATCH(C22,Prices!$A$5:$A$82,0))="","",HYPERLINK(INDEX(Prices!$O$5:$O$82,MATCH(C22,Prices!$A$5:$A$82,0)),INDEX(Prices!$D$5:$D$82,MATCH(C22,Prices!$A$5:$A$82,0)))),"")</f>
        <v>RobotShop (Canada)</v>
      </c>
    </row>
    <row r="23" customFormat="false" ht="15" hidden="false" customHeight="false" outlineLevel="0" collapsed="false">
      <c r="A23" s="20" t="s">
        <v>514</v>
      </c>
      <c r="B23" s="21" t="s">
        <v>524</v>
      </c>
      <c r="C23" s="29" t="s">
        <v>479</v>
      </c>
      <c r="D23" s="22" t="n">
        <v>10</v>
      </c>
      <c r="E23" s="30" t="n">
        <f aca="false">INDEX(Prices!$I$5:$I$82,MATCH(C23,Prices!$A$5:$A$82,0))</f>
        <v>0.0599</v>
      </c>
      <c r="F23" s="24" t="n">
        <f aca="false">D23*E23</f>
        <v>0.599</v>
      </c>
      <c r="G23" s="29" t="n">
        <f aca="false">INDEX(Prices!$E$5:$E$82,MATCH(C23,Prices!$A$5:$A$82,0))</f>
        <v>100</v>
      </c>
      <c r="H23" s="20" t="n">
        <f aca="false">IF(D23&lt;=0,0,CEILING(D23/G23,1))</f>
        <v>1</v>
      </c>
      <c r="I23" s="30" t="n">
        <f aca="false">INDEX(Prices!$H$5:$H$82,MATCH(C23,Prices!$A$5:$A$82,0))</f>
        <v>5.99</v>
      </c>
      <c r="J23" s="24" t="n">
        <f aca="false">H23*I23</f>
        <v>5.99</v>
      </c>
      <c r="K23" s="24" t="n">
        <f aca="false">IF(D23&lt;=0,0,IF(ISNUMBER(INDEX(Prices!$L$5:$L$82,MATCH(C23,Prices!$A$5:$A$82,0))),CEILING(D23/INDEX(Prices!$K$5:$K$82,MATCH(C23,Prices!$A$5:$A$82,0)),1)*INDEX(Prices!$L$5:$L$82,MATCH(C23,Prices!$A$5:$A$82,0)),J23))</f>
        <v>5.99</v>
      </c>
      <c r="L23" s="21"/>
      <c r="M23" s="27" t="str">
        <f aca="false">IFERROR(IF(INDEX(Prices!$O$5:$O$82,MATCH(C23,Prices!$A$5:$A$82,0))="","",HYPERLINK(INDEX(Prices!$O$5:$O$82,MATCH(C23,Prices!$A$5:$A$82,0)),INDEX(Prices!$D$5:$D$82,MATCH(C23,Prices!$A$5:$A$82,0)))),"")</f>
        <v>Princess Auto</v>
      </c>
    </row>
    <row r="24" customFormat="false" ht="15" hidden="false" customHeight="false" outlineLevel="0" collapsed="false">
      <c r="A24" s="20" t="s">
        <v>514</v>
      </c>
      <c r="B24" s="21" t="s">
        <v>525</v>
      </c>
      <c r="C24" s="29" t="s">
        <v>419</v>
      </c>
      <c r="D24" s="22" t="n">
        <v>2</v>
      </c>
      <c r="E24" s="30" t="n">
        <f aca="false">INDEX(Prices!$I$5:$I$82,MATCH(C24,Prices!$A$5:$A$82,0))</f>
        <v>0.09</v>
      </c>
      <c r="F24" s="24" t="n">
        <f aca="false">D24*E24</f>
        <v>0.18</v>
      </c>
      <c r="G24" s="29" t="n">
        <f aca="false">INDEX(Prices!$E$5:$E$82,MATCH(C24,Prices!$A$5:$A$82,0))</f>
        <v>100</v>
      </c>
      <c r="H24" s="20" t="n">
        <f aca="false">IF(D24&lt;=0,0,CEILING(D24/G24,1))</f>
        <v>1</v>
      </c>
      <c r="I24" s="30" t="n">
        <f aca="false">INDEX(Prices!$H$5:$H$82,MATCH(C24,Prices!$A$5:$A$82,0))</f>
        <v>9</v>
      </c>
      <c r="J24" s="24" t="n">
        <f aca="false">H24*I24</f>
        <v>9</v>
      </c>
      <c r="K24" s="24" t="n">
        <f aca="false">IF(D24&lt;=0,0,IF(ISNUMBER(INDEX(Prices!$L$5:$L$82,MATCH(C24,Prices!$A$5:$A$82,0))),CEILING(D24/INDEX(Prices!$K$5:$K$82,MATCH(C24,Prices!$A$5:$A$82,0)),1)*INDEX(Prices!$L$5:$L$82,MATCH(C24,Prices!$A$5:$A$82,0)),J24))</f>
        <v>9</v>
      </c>
      <c r="L24" s="21"/>
      <c r="M24" s="27" t="str">
        <f aca="false">IFERROR(IF(INDEX(Prices!$O$5:$O$82,MATCH(C24,Prices!$A$5:$A$82,0))="","",HYPERLINK(INDEX(Prices!$O$5:$O$82,MATCH(C24,Prices!$A$5:$A$82,0)),INDEX(Prices!$D$5:$D$82,MATCH(C24,Prices!$A$5:$A$82,0)))),"")</f>
        <v>Fleet Network (Canada)</v>
      </c>
    </row>
    <row r="25" customFormat="false" ht="15" hidden="false" customHeight="false" outlineLevel="0" collapsed="false">
      <c r="A25" s="20" t="s">
        <v>514</v>
      </c>
      <c r="B25" s="21" t="s">
        <v>526</v>
      </c>
      <c r="C25" s="29" t="s">
        <v>169</v>
      </c>
      <c r="D25" s="22" t="n">
        <v>0.1</v>
      </c>
      <c r="E25" s="30" t="n">
        <f aca="false">INDEX(Prices!$I$5:$I$82,MATCH(C25,Prices!$A$5:$A$82,0))</f>
        <v>12.84</v>
      </c>
      <c r="F25" s="24" t="n">
        <f aca="false">D25*E25</f>
        <v>1.284</v>
      </c>
      <c r="G25" s="29" t="n">
        <f aca="false">INDEX(Prices!$E$5:$E$82,MATCH(C25,Prices!$A$5:$A$82,0))</f>
        <v>1</v>
      </c>
      <c r="H25" s="20" t="n">
        <f aca="false">IF(D25&lt;=0,0,CEILING(D25/G25,1))</f>
        <v>1</v>
      </c>
      <c r="I25" s="30" t="n">
        <f aca="false">INDEX(Prices!$H$5:$H$82,MATCH(C25,Prices!$A$5:$A$82,0))</f>
        <v>12.84</v>
      </c>
      <c r="J25" s="24" t="n">
        <f aca="false">H25*I25</f>
        <v>12.84</v>
      </c>
      <c r="K25" s="24" t="n">
        <f aca="false">IF(D25&lt;=0,0,IF(ISNUMBER(INDEX(Prices!$L$5:$L$82,MATCH(C25,Prices!$A$5:$A$82,0))),CEILING(D25/INDEX(Prices!$K$5:$K$82,MATCH(C25,Prices!$A$5:$A$82,0)),1)*INDEX(Prices!$L$5:$L$82,MATCH(C25,Prices!$A$5:$A$82,0)),J25))</f>
        <v>12.84</v>
      </c>
      <c r="L25" s="21" t="s">
        <v>527</v>
      </c>
      <c r="M25" s="27" t="str">
        <f aca="false">IFERROR(IF(INDEX(Prices!$O$5:$O$82,MATCH(C25,Prices!$A$5:$A$82,0))="","",HYPERLINK(INDEX(Prices!$O$5:$O$82,MATCH(C25,Prices!$A$5:$A$82,0)),INDEX(Prices!$D$5:$D$82,MATCH(C25,Prices!$A$5:$A$82,0)))),"")</f>
        <v>RobotShop (Canada)</v>
      </c>
    </row>
    <row r="26" customFormat="false" ht="23.85" hidden="false" customHeight="false" outlineLevel="0" collapsed="false">
      <c r="A26" s="20" t="s">
        <v>528</v>
      </c>
      <c r="B26" s="21" t="s">
        <v>529</v>
      </c>
      <c r="C26" s="29" t="s">
        <v>282</v>
      </c>
      <c r="D26" s="22" t="n">
        <v>0.05</v>
      </c>
      <c r="E26" s="30" t="n">
        <f aca="false">INDEX(Prices!$I$5:$I$82,MATCH(C26,Prices!$A$5:$A$82,0))</f>
        <v>24</v>
      </c>
      <c r="F26" s="24" t="n">
        <f aca="false">D26*E26</f>
        <v>1.2</v>
      </c>
      <c r="G26" s="29" t="n">
        <f aca="false">INDEX(Prices!$E$5:$E$82,MATCH(C26,Prices!$A$5:$A$82,0))</f>
        <v>1</v>
      </c>
      <c r="H26" s="20" t="n">
        <f aca="false">IF(D26&lt;=0,0,CEILING(D26/G26,1))</f>
        <v>1</v>
      </c>
      <c r="I26" s="30" t="n">
        <f aca="false">INDEX(Prices!$H$5:$H$82,MATCH(C26,Prices!$A$5:$A$82,0))</f>
        <v>24</v>
      </c>
      <c r="J26" s="24" t="n">
        <f aca="false">H26*I26</f>
        <v>24</v>
      </c>
      <c r="K26" s="24" t="n">
        <f aca="false">IF(D26&lt;=0,0,IF(ISNUMBER(INDEX(Prices!$L$5:$L$82,MATCH(C26,Prices!$A$5:$A$82,0))),CEILING(D26/INDEX(Prices!$K$5:$K$82,MATCH(C26,Prices!$A$5:$A$82,0)),1)*INDEX(Prices!$L$5:$L$82,MATCH(C26,Prices!$A$5:$A$82,0)),J26))</f>
        <v>24</v>
      </c>
      <c r="L26" s="21" t="s">
        <v>530</v>
      </c>
      <c r="M26" s="27" t="str">
        <f aca="false">IFERROR(IF(INDEX(Prices!$O$5:$O$82,MATCH(C26,Prices!$A$5:$A$82,0))="","",HYPERLINK(INDEX(Prices!$O$5:$O$82,MATCH(C26,Prices!$A$5:$A$82,0)),INDEX(Prices!$D$5:$D$82,MATCH(C26,Prices!$A$5:$A$82,0)))),"")</f>
        <v>Spool3D</v>
      </c>
    </row>
    <row r="27" customFormat="false" ht="15" hidden="false" customHeight="false" outlineLevel="0" collapsed="false">
      <c r="A27" s="20" t="s">
        <v>528</v>
      </c>
      <c r="B27" s="21" t="s">
        <v>531</v>
      </c>
      <c r="C27" s="29" t="s">
        <v>287</v>
      </c>
      <c r="D27" s="22" t="n">
        <v>3</v>
      </c>
      <c r="E27" s="30" t="n">
        <f aca="false">INDEX(Prices!$I$5:$I$82,MATCH(C27,Prices!$A$5:$A$82,0))</f>
        <v>0.095</v>
      </c>
      <c r="F27" s="24" t="n">
        <f aca="false">D27*E27</f>
        <v>0.285</v>
      </c>
      <c r="G27" s="29" t="n">
        <f aca="false">INDEX(Prices!$E$5:$E$82,MATCH(C27,Prices!$A$5:$A$82,0))</f>
        <v>10</v>
      </c>
      <c r="H27" s="20" t="n">
        <f aca="false">IF(D27&lt;=0,0,CEILING(D27/G27,1))</f>
        <v>1</v>
      </c>
      <c r="I27" s="30" t="n">
        <f aca="false">INDEX(Prices!$H$5:$H$82,MATCH(C27,Prices!$A$5:$A$82,0))</f>
        <v>0.95</v>
      </c>
      <c r="J27" s="24" t="n">
        <f aca="false">H27*I27</f>
        <v>0.95</v>
      </c>
      <c r="K27" s="24" t="n">
        <f aca="false">IF(D27&lt;=0,0,IF(ISNUMBER(INDEX(Prices!$L$5:$L$82,MATCH(C27,Prices!$A$5:$A$82,0))),CEILING(D27/INDEX(Prices!$K$5:$K$82,MATCH(C27,Prices!$A$5:$A$82,0)),1)*INDEX(Prices!$L$5:$L$82,MATCH(C27,Prices!$A$5:$A$82,0)),J27))</f>
        <v>0.95</v>
      </c>
      <c r="L27" s="21"/>
      <c r="M27" s="27" t="str">
        <f aca="false">IFERROR(IF(INDEX(Prices!$O$5:$O$82,MATCH(C27,Prices!$A$5:$A$82,0))="","",HYPERLINK(INDEX(Prices!$O$5:$O$82,MATCH(C27,Prices!$A$5:$A$82,0)),INDEX(Prices!$D$5:$D$82,MATCH(C27,Prices!$A$5:$A$82,0)))),"")</f>
        <v>RobotShop CA</v>
      </c>
    </row>
    <row r="28" customFormat="false" ht="15" hidden="false" customHeight="false" outlineLevel="0" collapsed="false">
      <c r="A28" s="20" t="s">
        <v>528</v>
      </c>
      <c r="B28" s="21" t="s">
        <v>532</v>
      </c>
      <c r="C28" s="29" t="s">
        <v>292</v>
      </c>
      <c r="D28" s="22" t="n">
        <v>12</v>
      </c>
      <c r="E28" s="30" t="n">
        <f aca="false">INDEX(Prices!$I$5:$I$82,MATCH(C28,Prices!$A$5:$A$82,0))</f>
        <v>0.04875</v>
      </c>
      <c r="F28" s="24" t="n">
        <f aca="false">D28*E28</f>
        <v>0.585</v>
      </c>
      <c r="G28" s="29" t="n">
        <f aca="false">INDEX(Prices!$E$5:$E$82,MATCH(C28,Prices!$A$5:$A$82,0))</f>
        <v>40</v>
      </c>
      <c r="H28" s="20" t="n">
        <f aca="false">IF(D28&lt;=0,0,CEILING(D28/G28,1))</f>
        <v>1</v>
      </c>
      <c r="I28" s="30" t="n">
        <f aca="false">INDEX(Prices!$H$5:$H$82,MATCH(C28,Prices!$A$5:$A$82,0))</f>
        <v>1.95</v>
      </c>
      <c r="J28" s="24" t="n">
        <f aca="false">H28*I28</f>
        <v>1.95</v>
      </c>
      <c r="K28" s="24" t="n">
        <f aca="false">IF(D28&lt;=0,0,IF(ISNUMBER(INDEX(Prices!$L$5:$L$82,MATCH(C28,Prices!$A$5:$A$82,0))),CEILING(D28/INDEX(Prices!$K$5:$K$82,MATCH(C28,Prices!$A$5:$A$82,0)),1)*INDEX(Prices!$L$5:$L$82,MATCH(C28,Prices!$A$5:$A$82,0)),J28))</f>
        <v>1.95</v>
      </c>
      <c r="L28" s="21"/>
      <c r="M28" s="27" t="str">
        <f aca="false">IFERROR(IF(INDEX(Prices!$O$5:$O$82,MATCH(C28,Prices!$A$5:$A$82,0))="","",HYPERLINK(INDEX(Prices!$O$5:$O$82,MATCH(C28,Prices!$A$5:$A$82,0)),INDEX(Prices!$D$5:$D$82,MATCH(C28,Prices!$A$5:$A$82,0)))),"")</f>
        <v>BC Robotics</v>
      </c>
    </row>
    <row r="29" customFormat="false" ht="15" hidden="false" customHeight="false" outlineLevel="0" collapsed="false">
      <c r="A29" s="20" t="s">
        <v>528</v>
      </c>
      <c r="B29" s="21" t="s">
        <v>533</v>
      </c>
      <c r="C29" s="29" t="s">
        <v>375</v>
      </c>
      <c r="D29" s="22" t="n">
        <v>33</v>
      </c>
      <c r="E29" s="30" t="n">
        <f aca="false">INDEX(Prices!$I$5:$I$82,MATCH(C29,Prices!$A$5:$A$82,0))</f>
        <v>0.149</v>
      </c>
      <c r="F29" s="24" t="n">
        <f aca="false">D29*E29</f>
        <v>4.917</v>
      </c>
      <c r="G29" s="29" t="n">
        <f aca="false">INDEX(Prices!$E$5:$E$82,MATCH(C29,Prices!$A$5:$A$82,0))</f>
        <v>10</v>
      </c>
      <c r="H29" s="20" t="n">
        <f aca="false">IF(D29&lt;=0,0,CEILING(D29/G29,1))</f>
        <v>4</v>
      </c>
      <c r="I29" s="30" t="n">
        <f aca="false">INDEX(Prices!$H$5:$H$82,MATCH(C29,Prices!$A$5:$A$82,0))</f>
        <v>1.49</v>
      </c>
      <c r="J29" s="24" t="n">
        <f aca="false">H29*I29</f>
        <v>5.96</v>
      </c>
      <c r="K29" s="24" t="n">
        <f aca="false">IF(D29&lt;=0,0,IF(ISNUMBER(INDEX(Prices!$L$5:$L$82,MATCH(C29,Prices!$A$5:$A$82,0))),CEILING(D29/INDEX(Prices!$K$5:$K$82,MATCH(C29,Prices!$A$5:$A$82,0)),1)*INDEX(Prices!$L$5:$L$82,MATCH(C29,Prices!$A$5:$A$82,0)),J29))</f>
        <v>5.96</v>
      </c>
      <c r="L29" s="21" t="s">
        <v>534</v>
      </c>
      <c r="M29" s="27" t="str">
        <f aca="false">IFERROR(IF(INDEX(Prices!$O$5:$O$82,MATCH(C29,Prices!$A$5:$A$82,0))="","",HYPERLINK(INDEX(Prices!$O$5:$O$82,MATCH(C29,Prices!$A$5:$A$82,0)),INDEX(Prices!$D$5:$D$82,MATCH(C29,Prices!$A$5:$A$82,0)))),"")</f>
        <v>Canada Robotix</v>
      </c>
    </row>
    <row r="30" customFormat="false" ht="15" hidden="false" customHeight="false" outlineLevel="0" collapsed="false">
      <c r="A30" s="20" t="s">
        <v>528</v>
      </c>
      <c r="B30" s="21" t="s">
        <v>535</v>
      </c>
      <c r="C30" s="29" t="s">
        <v>239</v>
      </c>
      <c r="D30" s="22" t="n">
        <v>2</v>
      </c>
      <c r="E30" s="30" t="n">
        <f aca="false">INDEX(Prices!$I$5:$I$82,MATCH(C30,Prices!$A$5:$A$82,0))</f>
        <v>0.1475</v>
      </c>
      <c r="F30" s="24" t="n">
        <f aca="false">D30*E30</f>
        <v>0.295</v>
      </c>
      <c r="G30" s="29" t="n">
        <f aca="false">INDEX(Prices!$E$5:$E$82,MATCH(C30,Prices!$A$5:$A$82,0))</f>
        <v>20</v>
      </c>
      <c r="H30" s="20" t="n">
        <f aca="false">IF(D30&lt;=0,0,CEILING(D30/G30,1))</f>
        <v>1</v>
      </c>
      <c r="I30" s="30" t="n">
        <f aca="false">INDEX(Prices!$H$5:$H$82,MATCH(C30,Prices!$A$5:$A$82,0))</f>
        <v>2.95</v>
      </c>
      <c r="J30" s="24" t="n">
        <f aca="false">H30*I30</f>
        <v>2.95</v>
      </c>
      <c r="K30" s="24" t="n">
        <f aca="false">IF(D30&lt;=0,0,IF(ISNUMBER(INDEX(Prices!$L$5:$L$82,MATCH(C30,Prices!$A$5:$A$82,0))),CEILING(D30/INDEX(Prices!$K$5:$K$82,MATCH(C30,Prices!$A$5:$A$82,0)),1)*INDEX(Prices!$L$5:$L$82,MATCH(C30,Prices!$A$5:$A$82,0)),J30))</f>
        <v>2.95</v>
      </c>
      <c r="L30" s="21"/>
      <c r="M30" s="27" t="str">
        <f aca="false">IFERROR(IF(INDEX(Prices!$O$5:$O$82,MATCH(C30,Prices!$A$5:$A$82,0))="","",HYPERLINK(INDEX(Prices!$O$5:$O$82,MATCH(C30,Prices!$A$5:$A$82,0)),INDEX(Prices!$D$5:$D$82,MATCH(C30,Prices!$A$5:$A$82,0)))),"")</f>
        <v>BC Robotics</v>
      </c>
    </row>
    <row r="31" customFormat="false" ht="15" hidden="false" customHeight="false" outlineLevel="0" collapsed="false">
      <c r="A31" s="20" t="s">
        <v>528</v>
      </c>
      <c r="B31" s="21" t="s">
        <v>536</v>
      </c>
      <c r="C31" s="29" t="s">
        <v>249</v>
      </c>
      <c r="D31" s="22" t="n">
        <v>2</v>
      </c>
      <c r="E31" s="30" t="n">
        <f aca="false">INDEX(Prices!$I$5:$I$82,MATCH(C31,Prices!$A$5:$A$82,0))</f>
        <v>0.095</v>
      </c>
      <c r="F31" s="24" t="n">
        <f aca="false">D31*E31</f>
        <v>0.19</v>
      </c>
      <c r="G31" s="29" t="n">
        <f aca="false">INDEX(Prices!$E$5:$E$82,MATCH(C31,Prices!$A$5:$A$82,0))</f>
        <v>10</v>
      </c>
      <c r="H31" s="20" t="n">
        <f aca="false">IF(D31&lt;=0,0,CEILING(D31/G31,1))</f>
        <v>1</v>
      </c>
      <c r="I31" s="30" t="n">
        <f aca="false">INDEX(Prices!$H$5:$H$82,MATCH(C31,Prices!$A$5:$A$82,0))</f>
        <v>0.95</v>
      </c>
      <c r="J31" s="24" t="n">
        <f aca="false">H31*I31</f>
        <v>0.95</v>
      </c>
      <c r="K31" s="24" t="n">
        <f aca="false">IF(D31&lt;=0,0,IF(ISNUMBER(INDEX(Prices!$L$5:$L$82,MATCH(C31,Prices!$A$5:$A$82,0))),CEILING(D31/INDEX(Prices!$K$5:$K$82,MATCH(C31,Prices!$A$5:$A$82,0)),1)*INDEX(Prices!$L$5:$L$82,MATCH(C31,Prices!$A$5:$A$82,0)),J31))</f>
        <v>4</v>
      </c>
      <c r="L31" s="21"/>
      <c r="M31" s="27" t="str">
        <f aca="false">IFERROR(IF(INDEX(Prices!$O$5:$O$82,MATCH(C31,Prices!$A$5:$A$82,0))="","",HYPERLINK(INDEX(Prices!$O$5:$O$82,MATCH(C31,Prices!$A$5:$A$82,0)),INDEX(Prices!$D$5:$D$82,MATCH(C31,Prices!$A$5:$A$82,0)))),"")</f>
        <v>RobotShop CA</v>
      </c>
    </row>
    <row r="32" customFormat="false" ht="15" hidden="false" customHeight="false" outlineLevel="0" collapsed="false">
      <c r="A32" s="20" t="s">
        <v>528</v>
      </c>
      <c r="B32" s="21" t="s">
        <v>537</v>
      </c>
      <c r="C32" s="29" t="s">
        <v>469</v>
      </c>
      <c r="D32" s="22" t="n">
        <v>4</v>
      </c>
      <c r="E32" s="30" t="n">
        <f aca="false">INDEX(Prices!$I$5:$I$82,MATCH(C32,Prices!$A$5:$A$82,0))</f>
        <v>0.16</v>
      </c>
      <c r="F32" s="24" t="n">
        <f aca="false">D32*E32</f>
        <v>0.64</v>
      </c>
      <c r="G32" s="29" t="n">
        <f aca="false">INDEX(Prices!$E$5:$E$82,MATCH(C32,Prices!$A$5:$A$82,0))</f>
        <v>25</v>
      </c>
      <c r="H32" s="20" t="n">
        <f aca="false">IF(D32&lt;=0,0,CEILING(D32/G32,1))</f>
        <v>1</v>
      </c>
      <c r="I32" s="30" t="n">
        <f aca="false">INDEX(Prices!$H$5:$H$82,MATCH(C32,Prices!$A$5:$A$82,0))</f>
        <v>4</v>
      </c>
      <c r="J32" s="24" t="n">
        <f aca="false">H32*I32</f>
        <v>4</v>
      </c>
      <c r="K32" s="24" t="n">
        <f aca="false">IF(D32&lt;=0,0,IF(ISNUMBER(INDEX(Prices!$L$5:$L$82,MATCH(C32,Prices!$A$5:$A$82,0))),CEILING(D32/INDEX(Prices!$K$5:$K$82,MATCH(C32,Prices!$A$5:$A$82,0)),1)*INDEX(Prices!$L$5:$L$82,MATCH(C32,Prices!$A$5:$A$82,0)),J32))</f>
        <v>4</v>
      </c>
      <c r="L32" s="21" t="s">
        <v>538</v>
      </c>
      <c r="M32" s="27" t="str">
        <f aca="false">IFERROR(IF(INDEX(Prices!$O$5:$O$82,MATCH(C32,Prices!$A$5:$A$82,0))="","",HYPERLINK(INDEX(Prices!$O$5:$O$82,MATCH(C32,Prices!$A$5:$A$82,0)),INDEX(Prices!$D$5:$D$82,MATCH(C32,Prices!$A$5:$A$82,0)))),"")</f>
        <v/>
      </c>
    </row>
    <row r="33" customFormat="false" ht="15" hidden="false" customHeight="false" outlineLevel="0" collapsed="false">
      <c r="A33" s="20" t="s">
        <v>528</v>
      </c>
      <c r="B33" s="21" t="s">
        <v>539</v>
      </c>
      <c r="C33" s="29" t="s">
        <v>412</v>
      </c>
      <c r="D33" s="22" t="n">
        <v>1</v>
      </c>
      <c r="E33" s="30" t="n">
        <f aca="false">INDEX(Prices!$I$5:$I$82,MATCH(C33,Prices!$A$5:$A$82,0))</f>
        <v>7.94</v>
      </c>
      <c r="F33" s="24" t="n">
        <f aca="false">D33*E33</f>
        <v>7.94</v>
      </c>
      <c r="G33" s="29" t="n">
        <f aca="false">INDEX(Prices!$E$5:$E$82,MATCH(C33,Prices!$A$5:$A$82,0))</f>
        <v>1</v>
      </c>
      <c r="H33" s="20" t="n">
        <f aca="false">IF(D33&lt;=0,0,CEILING(D33/G33,1))</f>
        <v>1</v>
      </c>
      <c r="I33" s="30" t="n">
        <f aca="false">INDEX(Prices!$H$5:$H$82,MATCH(C33,Prices!$A$5:$A$82,0))</f>
        <v>7.94</v>
      </c>
      <c r="J33" s="24" t="n">
        <f aca="false">H33*I33</f>
        <v>7.94</v>
      </c>
      <c r="K33" s="24" t="n">
        <f aca="false">IF(D33&lt;=0,0,IF(ISNUMBER(INDEX(Prices!$L$5:$L$82,MATCH(C33,Prices!$A$5:$A$82,0))),CEILING(D33/INDEX(Prices!$K$5:$K$82,MATCH(C33,Prices!$A$5:$A$82,0)),1)*INDEX(Prices!$L$5:$L$82,MATCH(C33,Prices!$A$5:$A$82,0)),J33))</f>
        <v>3</v>
      </c>
      <c r="L33" s="21"/>
      <c r="M33" s="27" t="str">
        <f aca="false">IFERROR(IF(INDEX(Prices!$O$5:$O$82,MATCH(C33,Prices!$A$5:$A$82,0))="","",HYPERLINK(INDEX(Prices!$O$5:$O$82,MATCH(C33,Prices!$A$5:$A$82,0)),INDEX(Prices!$D$5:$D$82,MATCH(C33,Prices!$A$5:$A$82,0)))),"")</f>
        <v>KBC Tools &amp; Machinery (Mississauga ON)</v>
      </c>
    </row>
    <row r="34" customFormat="false" ht="15" hidden="false" customHeight="false" outlineLevel="0" collapsed="false">
      <c r="A34" s="20" t="s">
        <v>540</v>
      </c>
      <c r="B34" s="21" t="s">
        <v>541</v>
      </c>
      <c r="C34" s="29" t="s">
        <v>350</v>
      </c>
      <c r="D34" s="22" t="n">
        <v>1</v>
      </c>
      <c r="E34" s="30" t="n">
        <f aca="false">INDEX(Prices!$I$5:$I$82,MATCH(C34,Prices!$A$5:$A$82,0))</f>
        <v>0.99</v>
      </c>
      <c r="F34" s="24" t="n">
        <f aca="false">D34*E34</f>
        <v>0.99</v>
      </c>
      <c r="G34" s="29" t="n">
        <f aca="false">INDEX(Prices!$E$5:$E$82,MATCH(C34,Prices!$A$5:$A$82,0))</f>
        <v>1</v>
      </c>
      <c r="H34" s="20" t="n">
        <f aca="false">IF(D34&lt;=0,0,CEILING(D34/G34,1))</f>
        <v>1</v>
      </c>
      <c r="I34" s="30" t="n">
        <f aca="false">INDEX(Prices!$H$5:$H$82,MATCH(C34,Prices!$A$5:$A$82,0))</f>
        <v>0.99</v>
      </c>
      <c r="J34" s="24" t="n">
        <f aca="false">H34*I34</f>
        <v>0.99</v>
      </c>
      <c r="K34" s="24" t="n">
        <f aca="false">IF(D34&lt;=0,0,IF(ISNUMBER(INDEX(Prices!$L$5:$L$82,MATCH(C34,Prices!$A$5:$A$82,0))),CEILING(D34/INDEX(Prices!$K$5:$K$82,MATCH(C34,Prices!$A$5:$A$82,0)),1)*INDEX(Prices!$L$5:$L$82,MATCH(C34,Prices!$A$5:$A$82,0)),J34))</f>
        <v>0.99</v>
      </c>
      <c r="L34" s="21"/>
      <c r="M34" s="27" t="str">
        <f aca="false">IFERROR(IF(INDEX(Prices!$O$5:$O$82,MATCH(C34,Prices!$A$5:$A$82,0))="","",HYPERLINK(INDEX(Prices!$O$5:$O$82,MATCH(C34,Prices!$A$5:$A$82,0)),INDEX(Prices!$D$5:$D$82,MATCH(C34,Prices!$A$5:$A$82,0)))),"")</f>
        <v>Princess Auto</v>
      </c>
    </row>
    <row r="35" customFormat="false" ht="15" hidden="false" customHeight="false" outlineLevel="0" collapsed="false">
      <c r="A35" s="20" t="s">
        <v>540</v>
      </c>
      <c r="B35" s="21" t="s">
        <v>542</v>
      </c>
      <c r="C35" s="29" t="s">
        <v>365</v>
      </c>
      <c r="D35" s="22" t="n">
        <v>4</v>
      </c>
      <c r="E35" s="30" t="n">
        <f aca="false">INDEX(Prices!$I$5:$I$82,MATCH(C35,Prices!$A$5:$A$82,0))</f>
        <v>0.25</v>
      </c>
      <c r="F35" s="24" t="n">
        <f aca="false">D35*E35</f>
        <v>1</v>
      </c>
      <c r="G35" s="29" t="n">
        <f aca="false">INDEX(Prices!$E$5:$E$82,MATCH(C35,Prices!$A$5:$A$82,0))</f>
        <v>4</v>
      </c>
      <c r="H35" s="20" t="n">
        <f aca="false">IF(D35&lt;=0,0,CEILING(D35/G35,1))</f>
        <v>1</v>
      </c>
      <c r="I35" s="30" t="n">
        <f aca="false">INDEX(Prices!$H$5:$H$82,MATCH(C35,Prices!$A$5:$A$82,0))</f>
        <v>1</v>
      </c>
      <c r="J35" s="24" t="n">
        <f aca="false">H35*I35</f>
        <v>1</v>
      </c>
      <c r="K35" s="24" t="n">
        <f aca="false">IF(D35&lt;=0,0,IF(ISNUMBER(INDEX(Prices!$L$5:$L$82,MATCH(C35,Prices!$A$5:$A$82,0))),CEILING(D35/INDEX(Prices!$K$5:$K$82,MATCH(C35,Prices!$A$5:$A$82,0)),1)*INDEX(Prices!$L$5:$L$82,MATCH(C35,Prices!$A$5:$A$82,0)),J35))</f>
        <v>1</v>
      </c>
      <c r="L35" s="21"/>
      <c r="M35" s="27" t="str">
        <f aca="false">IFERROR(IF(INDEX(Prices!$O$5:$O$82,MATCH(C35,Prices!$A$5:$A$82,0))="","",HYPERLINK(INDEX(Prices!$O$5:$O$82,MATCH(C35,Prices!$A$5:$A$82,0)),INDEX(Prices!$D$5:$D$82,MATCH(C35,Prices!$A$5:$A$82,0)))),"")</f>
        <v>BC Robotics</v>
      </c>
    </row>
    <row r="36" customFormat="false" ht="15" hidden="false" customHeight="false" outlineLevel="0" collapsed="false">
      <c r="A36" s="20" t="s">
        <v>540</v>
      </c>
      <c r="B36" s="21" t="s">
        <v>543</v>
      </c>
      <c r="C36" s="29" t="s">
        <v>97</v>
      </c>
      <c r="D36" s="22" t="n">
        <v>0.5</v>
      </c>
      <c r="E36" s="30" t="n">
        <f aca="false">INDEX(Prices!$I$5:$I$82,MATCH(C36,Prices!$A$5:$A$82,0))</f>
        <v>4.995</v>
      </c>
      <c r="F36" s="24" t="n">
        <f aca="false">D36*E36</f>
        <v>2.4975</v>
      </c>
      <c r="G36" s="29" t="n">
        <f aca="false">INDEX(Prices!$E$5:$E$82,MATCH(C36,Prices!$A$5:$A$82,0))</f>
        <v>2</v>
      </c>
      <c r="H36" s="20" t="n">
        <f aca="false">IF(D36&lt;=0,0,CEILING(D36/G36,1))</f>
        <v>1</v>
      </c>
      <c r="I36" s="30" t="n">
        <f aca="false">INDEX(Prices!$H$5:$H$82,MATCH(C36,Prices!$A$5:$A$82,0))</f>
        <v>9.99</v>
      </c>
      <c r="J36" s="24" t="n">
        <f aca="false">H36*I36</f>
        <v>9.99</v>
      </c>
      <c r="K36" s="24" t="n">
        <f aca="false">IF(D36&lt;=0,0,IF(ISNUMBER(INDEX(Prices!$L$5:$L$82,MATCH(C36,Prices!$A$5:$A$82,0))),CEILING(D36/INDEX(Prices!$K$5:$K$82,MATCH(C36,Prices!$A$5:$A$82,0)),1)*INDEX(Prices!$L$5:$L$82,MATCH(C36,Prices!$A$5:$A$82,0)),J36))</f>
        <v>9.99</v>
      </c>
      <c r="L36" s="21"/>
      <c r="M36" s="27" t="str">
        <f aca="false">IFERROR(IF(INDEX(Prices!$O$5:$O$82,MATCH(C36,Prices!$A$5:$A$82,0))="","",HYPERLINK(INDEX(Prices!$O$5:$O$82,MATCH(C36,Prices!$A$5:$A$82,0)),INDEX(Prices!$D$5:$D$82,MATCH(C36,Prices!$A$5:$A$82,0)))),"")</f>
        <v>Princess Auto</v>
      </c>
    </row>
    <row r="38" customFormat="false" ht="15" hidden="false" customHeight="false" outlineLevel="0" collapsed="false">
      <c r="A38" s="3" t="s">
        <v>544</v>
      </c>
    </row>
    <row r="39" customFormat="false" ht="15" hidden="false" customHeight="false" outlineLevel="0" collapsed="false">
      <c r="A39" s="4" t="s">
        <v>545</v>
      </c>
      <c r="B39" s="4" t="s">
        <v>546</v>
      </c>
      <c r="D39" s="31" t="n">
        <v>0.418</v>
      </c>
      <c r="E39" s="8" t="n">
        <f aca="false">Summary!$C$9</f>
        <v>14.99</v>
      </c>
      <c r="F39" s="32" t="n">
        <f aca="false">D39*E39</f>
        <v>6.26582</v>
      </c>
      <c r="J39" s="32" t="n">
        <f aca="false">CEILING(D39,1)*E39</f>
        <v>14.99</v>
      </c>
      <c r="K39" s="32" t="n">
        <f aca="false">F39</f>
        <v>6.26582</v>
      </c>
      <c r="L39" s="4" t="s">
        <v>547</v>
      </c>
    </row>
    <row r="40" customFormat="false" ht="15" hidden="false" customHeight="false" outlineLevel="0" collapsed="false">
      <c r="A40" s="4" t="s">
        <v>545</v>
      </c>
      <c r="B40" s="4" t="s">
        <v>548</v>
      </c>
      <c r="D40" s="31" t="n">
        <v>34.5</v>
      </c>
      <c r="E40" s="33" t="n">
        <f aca="false">Summary!$C$11*Summary!$C$10</f>
        <v>0.014256</v>
      </c>
      <c r="F40" s="32" t="n">
        <f aca="false">D40*E40</f>
        <v>0.491832</v>
      </c>
      <c r="J40" s="32" t="n">
        <f aca="false">D40*E40</f>
        <v>0.491832</v>
      </c>
      <c r="K40" s="32" t="n">
        <f aca="false">D40*E40</f>
        <v>0.491832</v>
      </c>
      <c r="L40" s="4" t="s">
        <v>549</v>
      </c>
    </row>
    <row r="42" customFormat="false" ht="15" hidden="false" customHeight="false" outlineLevel="0" collapsed="false">
      <c r="B42" s="34" t="s">
        <v>18</v>
      </c>
      <c r="F42" s="35" t="n">
        <f aca="false">SUM(F5:F36)+F39+F40</f>
        <v>180.412652</v>
      </c>
      <c r="J42" s="35" t="n">
        <f aca="false">SUM(J5:J36)+J39+J40</f>
        <v>278.631832</v>
      </c>
      <c r="K42" s="35" t="n">
        <f aca="false">SUM(K5:K36)+K39+K40</f>
        <v>239.021953</v>
      </c>
    </row>
    <row r="43" customFormat="false" ht="15" hidden="false" customHeight="false" outlineLevel="0" collapsed="false">
      <c r="B43" s="4" t="s">
        <v>550</v>
      </c>
      <c r="F43" s="32" t="n">
        <f aca="false">F42*Summary!$C$7</f>
        <v>27.0618978</v>
      </c>
      <c r="J43" s="32" t="n">
        <f aca="false">J42*Summary!$C$7</f>
        <v>41.7947748</v>
      </c>
      <c r="K43" s="32" t="n">
        <f aca="false">K42*Summary!$C$7</f>
        <v>35.85329295</v>
      </c>
    </row>
    <row r="44" customFormat="false" ht="15" hidden="false" customHeight="false" outlineLevel="0" collapsed="false">
      <c r="B44" s="34" t="s">
        <v>19</v>
      </c>
      <c r="F44" s="35" t="n">
        <f aca="false">F42+F43</f>
        <v>207.4745498</v>
      </c>
      <c r="J44" s="35" t="n">
        <f aca="false">J42+J43</f>
        <v>320.4266068</v>
      </c>
      <c r="K44" s="35" t="n">
        <f aca="false">K42+K43</f>
        <v>274.87524595</v>
      </c>
    </row>
  </sheetData>
  <mergeCells count="1">
    <mergeCell ref="A2:M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6"/>
    <col collapsed="false" customWidth="true" hidden="false" outlineLevel="0" max="3" min="3" style="0" width="18"/>
    <col collapsed="false" customWidth="true" hidden="false" outlineLevel="0" max="4" min="4" style="0" width="7"/>
    <col collapsed="false" customWidth="true" hidden="false" outlineLevel="0" max="5" min="5" style="0" width="10"/>
    <col collapsed="false" customWidth="true" hidden="false" outlineLevel="0" max="6" min="6" style="0" width="12"/>
    <col collapsed="false" customWidth="true" hidden="false" outlineLevel="0" max="8" min="7" style="0" width="8"/>
    <col collapsed="false" customWidth="true" hidden="false" outlineLevel="0" max="9" min="9" style="0" width="10"/>
    <col collapsed="false" customWidth="true" hidden="false" outlineLevel="0" max="11" min="10" style="0" width="11"/>
    <col collapsed="false" customWidth="true" hidden="false" outlineLevel="0" max="12" min="12" style="0" width="48"/>
    <col collapsed="false" customWidth="true" hidden="false" outlineLevel="0" max="13" min="13" style="0" width="14"/>
  </cols>
  <sheetData>
    <row r="1" customFormat="false" ht="19.7" hidden="false" customHeight="false" outlineLevel="0" collapsed="false">
      <c r="A1" s="1" t="s">
        <v>551</v>
      </c>
    </row>
    <row r="2" customFormat="false" ht="30" hidden="false" customHeight="true" outlineLevel="0" collapsed="false">
      <c r="A2" s="2" t="s">
        <v>485</v>
      </c>
      <c r="B2" s="2"/>
      <c r="C2" s="2"/>
      <c r="D2" s="2"/>
      <c r="E2" s="2"/>
      <c r="F2" s="2"/>
      <c r="G2" s="2"/>
      <c r="H2" s="2"/>
      <c r="I2" s="2"/>
      <c r="J2" s="2"/>
      <c r="K2" s="2"/>
      <c r="L2" s="2"/>
      <c r="M2" s="2"/>
    </row>
    <row r="4" customFormat="false" ht="23.85" hidden="false" customHeight="false" outlineLevel="0" collapsed="false">
      <c r="A4" s="11" t="s">
        <v>486</v>
      </c>
      <c r="B4" s="11" t="s">
        <v>37</v>
      </c>
      <c r="C4" s="11" t="s">
        <v>487</v>
      </c>
      <c r="D4" s="11" t="s">
        <v>488</v>
      </c>
      <c r="E4" s="11" t="s">
        <v>489</v>
      </c>
      <c r="F4" s="11" t="s">
        <v>490</v>
      </c>
      <c r="G4" s="11" t="s">
        <v>40</v>
      </c>
      <c r="H4" s="11" t="s">
        <v>491</v>
      </c>
      <c r="I4" s="11" t="s">
        <v>41</v>
      </c>
      <c r="J4" s="11" t="s">
        <v>492</v>
      </c>
      <c r="K4" s="11" t="s">
        <v>493</v>
      </c>
      <c r="L4" s="11" t="s">
        <v>49</v>
      </c>
      <c r="M4" s="11" t="s">
        <v>494</v>
      </c>
    </row>
    <row r="5" customFormat="false" ht="23.85" hidden="false" customHeight="false" outlineLevel="0" collapsed="false">
      <c r="A5" s="20" t="s">
        <v>552</v>
      </c>
      <c r="B5" s="21" t="s">
        <v>553</v>
      </c>
      <c r="C5" s="29" t="s">
        <v>318</v>
      </c>
      <c r="D5" s="22" t="n">
        <v>2</v>
      </c>
      <c r="E5" s="30" t="n">
        <f aca="false">INDEX(Prices!$I$5:$I$82,MATCH(C5,Prices!$A$5:$A$82,0))</f>
        <v>7.99</v>
      </c>
      <c r="F5" s="24" t="n">
        <f aca="false">D5*E5</f>
        <v>15.98</v>
      </c>
      <c r="G5" s="29" t="n">
        <f aca="false">INDEX(Prices!$E$5:$E$82,MATCH(C5,Prices!$A$5:$A$82,0))</f>
        <v>1</v>
      </c>
      <c r="H5" s="20" t="n">
        <f aca="false">IF(D5&lt;=0,0,CEILING(D5/G5,1))</f>
        <v>2</v>
      </c>
      <c r="I5" s="30" t="n">
        <f aca="false">INDEX(Prices!$H$5:$H$82,MATCH(C5,Prices!$A$5:$A$82,0))</f>
        <v>7.99</v>
      </c>
      <c r="J5" s="24" t="n">
        <f aca="false">H5*I5</f>
        <v>15.98</v>
      </c>
      <c r="K5" s="24" t="n">
        <f aca="false">IF(D5&lt;=0,0,IF(ISNUMBER(INDEX(Prices!$L$5:$L$82,MATCH(C5,Prices!$A$5:$A$82,0))),CEILING(D5/INDEX(Prices!$K$5:$K$82,MATCH(C5,Prices!$A$5:$A$82,0)),1)*INDEX(Prices!$L$5:$L$82,MATCH(C5,Prices!$A$5:$A$82,0)),J5))</f>
        <v>15.98</v>
      </c>
      <c r="L5" s="21" t="s">
        <v>554</v>
      </c>
      <c r="M5" s="27" t="str">
        <f aca="false">IFERROR(IF(INDEX(Prices!$O$5:$O$82,MATCH(C5,Prices!$A$5:$A$82,0))="","",HYPERLINK(INDEX(Prices!$O$5:$O$82,MATCH(C5,Prices!$A$5:$A$82,0)),INDEX(Prices!$D$5:$D$82,MATCH(C5,Prices!$A$5:$A$82,0)))),"")</f>
        <v>Canada Robotix</v>
      </c>
    </row>
    <row r="6" customFormat="false" ht="15" hidden="false" customHeight="false" outlineLevel="0" collapsed="false">
      <c r="A6" s="20" t="s">
        <v>552</v>
      </c>
      <c r="B6" s="21" t="s">
        <v>555</v>
      </c>
      <c r="C6" s="29" t="s">
        <v>179</v>
      </c>
      <c r="D6" s="22" t="n">
        <v>1</v>
      </c>
      <c r="E6" s="30" t="n">
        <f aca="false">INDEX(Prices!$I$5:$I$82,MATCH(C6,Prices!$A$5:$A$82,0))</f>
        <v>3.845</v>
      </c>
      <c r="F6" s="24" t="n">
        <f aca="false">D6*E6</f>
        <v>3.845</v>
      </c>
      <c r="G6" s="29" t="n">
        <f aca="false">INDEX(Prices!$E$5:$E$82,MATCH(C6,Prices!$A$5:$A$82,0))</f>
        <v>2</v>
      </c>
      <c r="H6" s="20" t="n">
        <f aca="false">IF(D6&lt;=0,0,CEILING(D6/G6,1))</f>
        <v>1</v>
      </c>
      <c r="I6" s="30" t="n">
        <f aca="false">INDEX(Prices!$H$5:$H$82,MATCH(C6,Prices!$A$5:$A$82,0))</f>
        <v>7.69</v>
      </c>
      <c r="J6" s="24" t="n">
        <f aca="false">H6*I6</f>
        <v>7.69</v>
      </c>
      <c r="K6" s="24" t="n">
        <f aca="false">IF(D6&lt;=0,0,IF(ISNUMBER(INDEX(Prices!$L$5:$L$82,MATCH(C6,Prices!$A$5:$A$82,0))),CEILING(D6/INDEX(Prices!$K$5:$K$82,MATCH(C6,Prices!$A$5:$A$82,0)),1)*INDEX(Prices!$L$5:$L$82,MATCH(C6,Prices!$A$5:$A$82,0)),J6))</f>
        <v>7.69</v>
      </c>
      <c r="L6" s="21" t="s">
        <v>556</v>
      </c>
      <c r="M6" s="27" t="str">
        <f aca="false">IFERROR(IF(INDEX(Prices!$O$5:$O$82,MATCH(C6,Prices!$A$5:$A$82,0))="","",HYPERLINK(INDEX(Prices!$O$5:$O$82,MATCH(C6,Prices!$A$5:$A$82,0)),INDEX(Prices!$D$5:$D$82,MATCH(C6,Prices!$A$5:$A$82,0)))),"")</f>
        <v>Canada Robotix</v>
      </c>
    </row>
    <row r="7" customFormat="false" ht="15" hidden="false" customHeight="false" outlineLevel="0" collapsed="false">
      <c r="A7" s="20" t="s">
        <v>552</v>
      </c>
      <c r="B7" s="21" t="s">
        <v>557</v>
      </c>
      <c r="C7" s="29" t="s">
        <v>407</v>
      </c>
      <c r="D7" s="22" t="n">
        <v>1</v>
      </c>
      <c r="E7" s="30" t="n">
        <f aca="false">INDEX(Prices!$I$5:$I$82,MATCH(C7,Prices!$A$5:$A$82,0))</f>
        <v>7.07</v>
      </c>
      <c r="F7" s="24" t="n">
        <f aca="false">D7*E7</f>
        <v>7.07</v>
      </c>
      <c r="G7" s="29" t="n">
        <f aca="false">INDEX(Prices!$E$5:$E$82,MATCH(C7,Prices!$A$5:$A$82,0))</f>
        <v>1</v>
      </c>
      <c r="H7" s="20" t="n">
        <f aca="false">IF(D7&lt;=0,0,CEILING(D7/G7,1))</f>
        <v>1</v>
      </c>
      <c r="I7" s="30" t="n">
        <f aca="false">INDEX(Prices!$H$5:$H$82,MATCH(C7,Prices!$A$5:$A$82,0))</f>
        <v>7.07</v>
      </c>
      <c r="J7" s="24" t="n">
        <f aca="false">H7*I7</f>
        <v>7.07</v>
      </c>
      <c r="K7" s="24" t="n">
        <f aca="false">IF(D7&lt;=0,0,IF(ISNUMBER(INDEX(Prices!$L$5:$L$82,MATCH(C7,Prices!$A$5:$A$82,0))),CEILING(D7/INDEX(Prices!$K$5:$K$82,MATCH(C7,Prices!$A$5:$A$82,0)),1)*INDEX(Prices!$L$5:$L$82,MATCH(C7,Prices!$A$5:$A$82,0)),J7))</f>
        <v>7.07</v>
      </c>
      <c r="L7" s="21"/>
      <c r="M7" s="27" t="str">
        <f aca="false">IFERROR(IF(INDEX(Prices!$O$5:$O$82,MATCH(C7,Prices!$A$5:$A$82,0))="","",HYPERLINK(INDEX(Prices!$O$5:$O$82,MATCH(C7,Prices!$A$5:$A$82,0)),INDEX(Prices!$D$5:$D$82,MATCH(C7,Prices!$A$5:$A$82,0)))),"")</f>
        <v>RobotShop CA</v>
      </c>
    </row>
    <row r="8" customFormat="false" ht="15" hidden="false" customHeight="false" outlineLevel="0" collapsed="false">
      <c r="A8" s="20" t="s">
        <v>552</v>
      </c>
      <c r="B8" s="21" t="s">
        <v>499</v>
      </c>
      <c r="C8" s="29" t="s">
        <v>140</v>
      </c>
      <c r="D8" s="22" t="n">
        <v>1</v>
      </c>
      <c r="E8" s="30" t="n">
        <f aca="false">INDEX(Prices!$I$5:$I$82,MATCH(C8,Prices!$A$5:$A$82,0))</f>
        <v>9.86</v>
      </c>
      <c r="F8" s="24" t="n">
        <f aca="false">D8*E8</f>
        <v>9.86</v>
      </c>
      <c r="G8" s="29" t="n">
        <f aca="false">INDEX(Prices!$E$5:$E$82,MATCH(C8,Prices!$A$5:$A$82,0))</f>
        <v>1</v>
      </c>
      <c r="H8" s="20" t="n">
        <f aca="false">IF(D8&lt;=0,0,CEILING(D8/G8,1))</f>
        <v>1</v>
      </c>
      <c r="I8" s="30" t="n">
        <f aca="false">INDEX(Prices!$H$5:$H$82,MATCH(C8,Prices!$A$5:$A$82,0))</f>
        <v>9.86</v>
      </c>
      <c r="J8" s="24" t="n">
        <f aca="false">H8*I8</f>
        <v>9.86</v>
      </c>
      <c r="K8" s="24" t="n">
        <f aca="false">IF(D8&lt;=0,0,IF(ISNUMBER(INDEX(Prices!$L$5:$L$82,MATCH(C8,Prices!$A$5:$A$82,0))),CEILING(D8/INDEX(Prices!$K$5:$K$82,MATCH(C8,Prices!$A$5:$A$82,0)),1)*INDEX(Prices!$L$5:$L$82,MATCH(C8,Prices!$A$5:$A$82,0)),J8))</f>
        <v>9.86</v>
      </c>
      <c r="L8" s="21"/>
      <c r="M8" s="27" t="str">
        <f aca="false">IFERROR(IF(INDEX(Prices!$O$5:$O$82,MATCH(C8,Prices!$A$5:$A$82,0))="","",HYPERLINK(INDEX(Prices!$O$5:$O$82,MATCH(C8,Prices!$A$5:$A$82,0)),INDEX(Prices!$D$5:$D$82,MATCH(C8,Prices!$A$5:$A$82,0)))),"")</f>
        <v>Universal-Solder (CANADUINO)</v>
      </c>
    </row>
    <row r="9" customFormat="false" ht="15" hidden="false" customHeight="false" outlineLevel="0" collapsed="false">
      <c r="A9" s="20" t="s">
        <v>552</v>
      </c>
      <c r="B9" s="21" t="s">
        <v>558</v>
      </c>
      <c r="C9" s="29" t="s">
        <v>163</v>
      </c>
      <c r="D9" s="22" t="n">
        <v>1</v>
      </c>
      <c r="E9" s="30" t="n">
        <f aca="false">INDEX(Prices!$I$5:$I$82,MATCH(C9,Prices!$A$5:$A$82,0))</f>
        <v>4.93</v>
      </c>
      <c r="F9" s="24" t="n">
        <f aca="false">D9*E9</f>
        <v>4.93</v>
      </c>
      <c r="G9" s="29" t="n">
        <f aca="false">INDEX(Prices!$E$5:$E$82,MATCH(C9,Prices!$A$5:$A$82,0))</f>
        <v>1</v>
      </c>
      <c r="H9" s="20" t="n">
        <f aca="false">IF(D9&lt;=0,0,CEILING(D9/G9,1))</f>
        <v>1</v>
      </c>
      <c r="I9" s="30" t="n">
        <f aca="false">INDEX(Prices!$H$5:$H$82,MATCH(C9,Prices!$A$5:$A$82,0))</f>
        <v>4.93</v>
      </c>
      <c r="J9" s="24" t="n">
        <f aca="false">H9*I9</f>
        <v>4.93</v>
      </c>
      <c r="K9" s="24" t="n">
        <f aca="false">IF(D9&lt;=0,0,IF(ISNUMBER(INDEX(Prices!$L$5:$L$82,MATCH(C9,Prices!$A$5:$A$82,0))),CEILING(D9/INDEX(Prices!$K$5:$K$82,MATCH(C9,Prices!$A$5:$A$82,0)),1)*INDEX(Prices!$L$5:$L$82,MATCH(C9,Prices!$A$5:$A$82,0)),J9))</f>
        <v>4.93</v>
      </c>
      <c r="L9" s="21"/>
      <c r="M9" s="27" t="str">
        <f aca="false">IFERROR(IF(INDEX(Prices!$O$5:$O$82,MATCH(C9,Prices!$A$5:$A$82,0))="","",HYPERLINK(INDEX(Prices!$O$5:$O$82,MATCH(C9,Prices!$A$5:$A$82,0)),INDEX(Prices!$D$5:$D$82,MATCH(C9,Prices!$A$5:$A$82,0)))),"")</f>
        <v>RobotShop CA</v>
      </c>
    </row>
    <row r="10" customFormat="false" ht="15" hidden="false" customHeight="false" outlineLevel="0" collapsed="false">
      <c r="A10" s="20" t="s">
        <v>552</v>
      </c>
      <c r="B10" s="21" t="s">
        <v>559</v>
      </c>
      <c r="C10" s="29" t="s">
        <v>52</v>
      </c>
      <c r="D10" s="22" t="n">
        <v>1</v>
      </c>
      <c r="E10" s="30" t="n">
        <f aca="false">INDEX(Prices!$I$5:$I$82,MATCH(C10,Prices!$A$5:$A$82,0))</f>
        <v>2.99</v>
      </c>
      <c r="F10" s="24" t="n">
        <f aca="false">D10*E10</f>
        <v>2.99</v>
      </c>
      <c r="G10" s="29" t="n">
        <f aca="false">INDEX(Prices!$E$5:$E$82,MATCH(C10,Prices!$A$5:$A$82,0))</f>
        <v>1</v>
      </c>
      <c r="H10" s="20" t="n">
        <f aca="false">IF(D10&lt;=0,0,CEILING(D10/G10,1))</f>
        <v>1</v>
      </c>
      <c r="I10" s="30" t="n">
        <f aca="false">INDEX(Prices!$H$5:$H$82,MATCH(C10,Prices!$A$5:$A$82,0))</f>
        <v>2.99</v>
      </c>
      <c r="J10" s="24" t="n">
        <f aca="false">H10*I10</f>
        <v>2.99</v>
      </c>
      <c r="K10" s="24" t="n">
        <f aca="false">IF(D10&lt;=0,0,IF(ISNUMBER(INDEX(Prices!$L$5:$L$82,MATCH(C10,Prices!$A$5:$A$82,0))),CEILING(D10/INDEX(Prices!$K$5:$K$82,MATCH(C10,Prices!$A$5:$A$82,0)),1)*INDEX(Prices!$L$5:$L$82,MATCH(C10,Prices!$A$5:$A$82,0)),J10))</f>
        <v>2.99</v>
      </c>
      <c r="L10" s="21"/>
      <c r="M10" s="27" t="str">
        <f aca="false">IFERROR(IF(INDEX(Prices!$O$5:$O$82,MATCH(C10,Prices!$A$5:$A$82,0))="","",HYPERLINK(INDEX(Prices!$O$5:$O$82,MATCH(C10,Prices!$A$5:$A$82,0)),INDEX(Prices!$D$5:$D$82,MATCH(C10,Prices!$A$5:$A$82,0)))),"")</f>
        <v>Canada Robotix</v>
      </c>
    </row>
    <row r="11" customFormat="false" ht="15" hidden="false" customHeight="false" outlineLevel="0" collapsed="false">
      <c r="A11" s="20" t="s">
        <v>502</v>
      </c>
      <c r="B11" s="21" t="s">
        <v>560</v>
      </c>
      <c r="C11" s="29" t="s">
        <v>77</v>
      </c>
      <c r="D11" s="22" t="n">
        <v>2</v>
      </c>
      <c r="E11" s="30" t="n">
        <f aca="false">INDEX(Prices!$I$5:$I$82,MATCH(C11,Prices!$A$5:$A$82,0))</f>
        <v>29.95</v>
      </c>
      <c r="F11" s="24" t="n">
        <f aca="false">D11*E11</f>
        <v>59.9</v>
      </c>
      <c r="G11" s="29" t="n">
        <f aca="false">INDEX(Prices!$E$5:$E$82,MATCH(C11,Prices!$A$5:$A$82,0))</f>
        <v>1</v>
      </c>
      <c r="H11" s="20" t="n">
        <f aca="false">IF(D11&lt;=0,0,CEILING(D11/G11,1))</f>
        <v>2</v>
      </c>
      <c r="I11" s="30" t="n">
        <f aca="false">INDEX(Prices!$H$5:$H$82,MATCH(C11,Prices!$A$5:$A$82,0))</f>
        <v>29.95</v>
      </c>
      <c r="J11" s="24" t="n">
        <f aca="false">H11*I11</f>
        <v>59.9</v>
      </c>
      <c r="K11" s="24" t="n">
        <f aca="false">IF(D11&lt;=0,0,IF(ISNUMBER(INDEX(Prices!$L$5:$L$82,MATCH(C11,Prices!$A$5:$A$82,0))),CEILING(D11/INDEX(Prices!$K$5:$K$82,MATCH(C11,Prices!$A$5:$A$82,0)),1)*INDEX(Prices!$L$5:$L$82,MATCH(C11,Prices!$A$5:$A$82,0)),J11))</f>
        <v>20.961514</v>
      </c>
      <c r="L11" s="21"/>
      <c r="M11" s="27" t="str">
        <f aca="false">IFERROR(IF(INDEX(Prices!$O$5:$O$82,MATCH(C11,Prices!$A$5:$A$82,0))="","",HYPERLINK(INDEX(Prices!$O$5:$O$82,MATCH(C11,Prices!$A$5:$A$82,0)),INDEX(Prices!$D$5:$D$82,MATCH(C11,Prices!$A$5:$A$82,0)))),"")</f>
        <v>FlashLight World (Magog QC, Canada)</v>
      </c>
    </row>
    <row r="12" customFormat="false" ht="15" hidden="false" customHeight="false" outlineLevel="0" collapsed="false">
      <c r="A12" s="20" t="s">
        <v>502</v>
      </c>
      <c r="B12" s="21" t="s">
        <v>561</v>
      </c>
      <c r="C12" s="29" t="s">
        <v>174</v>
      </c>
      <c r="D12" s="22" t="n">
        <v>1</v>
      </c>
      <c r="E12" s="30" t="n">
        <f aca="false">INDEX(Prices!$I$5:$I$82,MATCH(C12,Prices!$A$5:$A$82,0))</f>
        <v>1.95</v>
      </c>
      <c r="F12" s="24" t="n">
        <f aca="false">D12*E12</f>
        <v>1.95</v>
      </c>
      <c r="G12" s="29" t="n">
        <f aca="false">INDEX(Prices!$E$5:$E$82,MATCH(C12,Prices!$A$5:$A$82,0))</f>
        <v>1</v>
      </c>
      <c r="H12" s="20" t="n">
        <f aca="false">IF(D12&lt;=0,0,CEILING(D12/G12,1))</f>
        <v>1</v>
      </c>
      <c r="I12" s="30" t="n">
        <f aca="false">INDEX(Prices!$H$5:$H$82,MATCH(C12,Prices!$A$5:$A$82,0))</f>
        <v>1.95</v>
      </c>
      <c r="J12" s="24" t="n">
        <f aca="false">H12*I12</f>
        <v>1.95</v>
      </c>
      <c r="K12" s="24" t="n">
        <f aca="false">IF(D12&lt;=0,0,IF(ISNUMBER(INDEX(Prices!$L$5:$L$82,MATCH(C12,Prices!$A$5:$A$82,0))),CEILING(D12/INDEX(Prices!$K$5:$K$82,MATCH(C12,Prices!$A$5:$A$82,0)),1)*INDEX(Prices!$L$5:$L$82,MATCH(C12,Prices!$A$5:$A$82,0)),J12))</f>
        <v>1.95</v>
      </c>
      <c r="L12" s="21"/>
      <c r="M12" s="27" t="str">
        <f aca="false">IFERROR(IF(INDEX(Prices!$O$5:$O$82,MATCH(C12,Prices!$A$5:$A$82,0))="","",HYPERLINK(INDEX(Prices!$O$5:$O$82,MATCH(C12,Prices!$A$5:$A$82,0)),INDEX(Prices!$D$5:$D$82,MATCH(C12,Prices!$A$5:$A$82,0)))),"")</f>
        <v>BC Robotics</v>
      </c>
    </row>
    <row r="13" customFormat="false" ht="15" hidden="false" customHeight="false" outlineLevel="0" collapsed="false">
      <c r="A13" s="20" t="s">
        <v>502</v>
      </c>
      <c r="B13" s="21" t="s">
        <v>562</v>
      </c>
      <c r="C13" s="29" t="s">
        <v>90</v>
      </c>
      <c r="D13" s="22" t="n">
        <v>1</v>
      </c>
      <c r="E13" s="30" t="n">
        <f aca="false">INDEX(Prices!$I$5:$I$82,MATCH(C13,Prices!$A$5:$A$82,0))</f>
        <v>20.28985</v>
      </c>
      <c r="F13" s="24" t="n">
        <f aca="false">D13*E13</f>
        <v>20.28985</v>
      </c>
      <c r="G13" s="29" t="n">
        <f aca="false">INDEX(Prices!$E$5:$E$82,MATCH(C13,Prices!$A$5:$A$82,0))</f>
        <v>1</v>
      </c>
      <c r="H13" s="20" t="n">
        <f aca="false">IF(D13&lt;=0,0,CEILING(D13/G13,1))</f>
        <v>1</v>
      </c>
      <c r="I13" s="30" t="n">
        <f aca="false">INDEX(Prices!$H$5:$H$82,MATCH(C13,Prices!$A$5:$A$82,0))</f>
        <v>20.28985</v>
      </c>
      <c r="J13" s="24" t="n">
        <f aca="false">H13*I13</f>
        <v>20.28985</v>
      </c>
      <c r="K13" s="24" t="n">
        <f aca="false">IF(D13&lt;=0,0,IF(ISNUMBER(INDEX(Prices!$L$5:$L$82,MATCH(C13,Prices!$A$5:$A$82,0))),CEILING(D13/INDEX(Prices!$K$5:$K$82,MATCH(C13,Prices!$A$5:$A$82,0)),1)*INDEX(Prices!$L$5:$L$82,MATCH(C13,Prices!$A$5:$A$82,0)),J13))</f>
        <v>20.28985</v>
      </c>
      <c r="L13" s="21"/>
      <c r="M13" s="27" t="str">
        <f aca="false">IFERROR(IF(INDEX(Prices!$O$5:$O$82,MATCH(C13,Prices!$A$5:$A$82,0))="","",HYPERLINK(INDEX(Prices!$O$5:$O$82,MATCH(C13,Prices!$A$5:$A$82,0)),INDEX(Prices!$D$5:$D$82,MATCH(C13,Prices!$A$5:$A$82,0)))),"")</f>
        <v>Illumn (illumn.com)</v>
      </c>
    </row>
    <row r="14" customFormat="false" ht="15" hidden="false" customHeight="false" outlineLevel="0" collapsed="false">
      <c r="A14" s="20" t="s">
        <v>502</v>
      </c>
      <c r="B14" s="21" t="s">
        <v>563</v>
      </c>
      <c r="C14" s="29" t="s">
        <v>312</v>
      </c>
      <c r="D14" s="22" t="n">
        <v>1</v>
      </c>
      <c r="E14" s="30" t="n">
        <f aca="false">INDEX(Prices!$I$5:$I$82,MATCH(C14,Prices!$A$5:$A$82,0))</f>
        <v>1.665167</v>
      </c>
      <c r="F14" s="24" t="n">
        <f aca="false">D14*E14</f>
        <v>1.665167</v>
      </c>
      <c r="G14" s="29" t="n">
        <f aca="false">INDEX(Prices!$E$5:$E$82,MATCH(C14,Prices!$A$5:$A$82,0))</f>
        <v>5</v>
      </c>
      <c r="H14" s="20" t="n">
        <f aca="false">IF(D14&lt;=0,0,CEILING(D14/G14,1))</f>
        <v>1</v>
      </c>
      <c r="I14" s="30" t="n">
        <f aca="false">INDEX(Prices!$H$5:$H$82,MATCH(C14,Prices!$A$5:$A$82,0))</f>
        <v>8.325835</v>
      </c>
      <c r="J14" s="24" t="n">
        <f aca="false">H14*I14</f>
        <v>8.325835</v>
      </c>
      <c r="K14" s="24" t="n">
        <f aca="false">IF(D14&lt;=0,0,IF(ISNUMBER(INDEX(Prices!$L$5:$L$82,MATCH(C14,Prices!$A$5:$A$82,0))),CEILING(D14/INDEX(Prices!$K$5:$K$82,MATCH(C14,Prices!$A$5:$A$82,0)),1)*INDEX(Prices!$L$5:$L$82,MATCH(C14,Prices!$A$5:$A$82,0)),J14))</f>
        <v>8.325835</v>
      </c>
      <c r="L14" s="21"/>
      <c r="M14" s="27" t="str">
        <f aca="false">IFERROR(IF(INDEX(Prices!$O$5:$O$82,MATCH(C14,Prices!$A$5:$A$82,0))="","",HYPERLINK(INDEX(Prices!$O$5:$O$82,MATCH(C14,Prices!$A$5:$A$82,0)),INDEX(Prices!$D$5:$D$82,MATCH(C14,Prices!$A$5:$A$82,0)))),"")</f>
        <v>AliExpress (budget)</v>
      </c>
    </row>
    <row r="15" customFormat="false" ht="15" hidden="false" customHeight="false" outlineLevel="0" collapsed="false">
      <c r="A15" s="20" t="s">
        <v>502</v>
      </c>
      <c r="B15" s="21" t="s">
        <v>564</v>
      </c>
      <c r="C15" s="29" t="s">
        <v>425</v>
      </c>
      <c r="D15" s="22" t="n">
        <v>1</v>
      </c>
      <c r="E15" s="30" t="n">
        <f aca="false">INDEX(Prices!$I$5:$I$82,MATCH(C15,Prices!$A$5:$A$82,0))</f>
        <v>2.29</v>
      </c>
      <c r="F15" s="24" t="n">
        <f aca="false">D15*E15</f>
        <v>2.29</v>
      </c>
      <c r="G15" s="29" t="n">
        <f aca="false">INDEX(Prices!$E$5:$E$82,MATCH(C15,Prices!$A$5:$A$82,0))</f>
        <v>1</v>
      </c>
      <c r="H15" s="20" t="n">
        <f aca="false">IF(D15&lt;=0,0,CEILING(D15/G15,1))</f>
        <v>1</v>
      </c>
      <c r="I15" s="30" t="n">
        <f aca="false">INDEX(Prices!$H$5:$H$82,MATCH(C15,Prices!$A$5:$A$82,0))</f>
        <v>2.29</v>
      </c>
      <c r="J15" s="24" t="n">
        <f aca="false">H15*I15</f>
        <v>2.29</v>
      </c>
      <c r="K15" s="24" t="n">
        <f aca="false">IF(D15&lt;=0,0,IF(ISNUMBER(INDEX(Prices!$L$5:$L$82,MATCH(C15,Prices!$A$5:$A$82,0))),CEILING(D15/INDEX(Prices!$K$5:$K$82,MATCH(C15,Prices!$A$5:$A$82,0)),1)*INDEX(Prices!$L$5:$L$82,MATCH(C15,Prices!$A$5:$A$82,0)),J15))</f>
        <v>2.29</v>
      </c>
      <c r="L15" s="21"/>
      <c r="M15" s="27" t="str">
        <f aca="false">IFERROR(IF(INDEX(Prices!$O$5:$O$82,MATCH(C15,Prices!$A$5:$A$82,0))="","",HYPERLINK(INDEX(Prices!$O$5:$O$82,MATCH(C15,Prices!$A$5:$A$82,0)),INDEX(Prices!$D$5:$D$82,MATCH(C15,Prices!$A$5:$A$82,0)))),"")</f>
        <v>Canada Robotix</v>
      </c>
    </row>
    <row r="16" customFormat="false" ht="15" hidden="false" customHeight="false" outlineLevel="0" collapsed="false">
      <c r="A16" s="20" t="s">
        <v>502</v>
      </c>
      <c r="B16" s="21" t="s">
        <v>565</v>
      </c>
      <c r="C16" s="29" t="s">
        <v>72</v>
      </c>
      <c r="D16" s="22" t="n">
        <v>1</v>
      </c>
      <c r="E16" s="30" t="n">
        <f aca="false">INDEX(Prices!$I$5:$I$82,MATCH(C16,Prices!$A$5:$A$82,0))</f>
        <v>0.71</v>
      </c>
      <c r="F16" s="24" t="n">
        <f aca="false">D16*E16</f>
        <v>0.71</v>
      </c>
      <c r="G16" s="29" t="n">
        <f aca="false">INDEX(Prices!$E$5:$E$82,MATCH(C16,Prices!$A$5:$A$82,0))</f>
        <v>1</v>
      </c>
      <c r="H16" s="20" t="n">
        <f aca="false">IF(D16&lt;=0,0,CEILING(D16/G16,1))</f>
        <v>1</v>
      </c>
      <c r="I16" s="30" t="n">
        <f aca="false">INDEX(Prices!$H$5:$H$82,MATCH(C16,Prices!$A$5:$A$82,0))</f>
        <v>0.71</v>
      </c>
      <c r="J16" s="24" t="n">
        <f aca="false">H16*I16</f>
        <v>0.71</v>
      </c>
      <c r="K16" s="24" t="n">
        <f aca="false">IF(D16&lt;=0,0,IF(ISNUMBER(INDEX(Prices!$L$5:$L$82,MATCH(C16,Prices!$A$5:$A$82,0))),CEILING(D16/INDEX(Prices!$K$5:$K$82,MATCH(C16,Prices!$A$5:$A$82,0)),1)*INDEX(Prices!$L$5:$L$82,MATCH(C16,Prices!$A$5:$A$82,0)),J16))</f>
        <v>0.71</v>
      </c>
      <c r="L16" s="21"/>
      <c r="M16" s="27" t="str">
        <f aca="false">IFERROR(IF(INDEX(Prices!$O$5:$O$82,MATCH(C16,Prices!$A$5:$A$82,0))="","",HYPERLINK(INDEX(Prices!$O$5:$O$82,MATCH(C16,Prices!$A$5:$A$82,0)),INDEX(Prices!$D$5:$D$82,MATCH(C16,Prices!$A$5:$A$82,0)))),"")</f>
        <v>RobotShop (Canada)</v>
      </c>
    </row>
    <row r="17" customFormat="false" ht="15" hidden="false" customHeight="false" outlineLevel="0" collapsed="false">
      <c r="A17" s="20" t="s">
        <v>502</v>
      </c>
      <c r="B17" s="21" t="s">
        <v>566</v>
      </c>
      <c r="C17" s="29" t="s">
        <v>85</v>
      </c>
      <c r="D17" s="22" t="n">
        <v>3</v>
      </c>
      <c r="E17" s="30" t="n">
        <f aca="false">INDEX(Prices!$I$5:$I$82,MATCH(C17,Prices!$A$5:$A$82,0))</f>
        <v>0.398</v>
      </c>
      <c r="F17" s="24" t="n">
        <f aca="false">D17*E17</f>
        <v>1.194</v>
      </c>
      <c r="G17" s="29" t="n">
        <f aca="false">INDEX(Prices!$E$5:$E$82,MATCH(C17,Prices!$A$5:$A$82,0))</f>
        <v>5</v>
      </c>
      <c r="H17" s="20" t="n">
        <f aca="false">IF(D17&lt;=0,0,CEILING(D17/G17,1))</f>
        <v>1</v>
      </c>
      <c r="I17" s="30" t="n">
        <f aca="false">INDEX(Prices!$H$5:$H$82,MATCH(C17,Prices!$A$5:$A$82,0))</f>
        <v>1.99</v>
      </c>
      <c r="J17" s="24" t="n">
        <f aca="false">H17*I17</f>
        <v>1.99</v>
      </c>
      <c r="K17" s="24" t="n">
        <f aca="false">IF(D17&lt;=0,0,IF(ISNUMBER(INDEX(Prices!$L$5:$L$82,MATCH(C17,Prices!$A$5:$A$82,0))),CEILING(D17/INDEX(Prices!$K$5:$K$82,MATCH(C17,Prices!$A$5:$A$82,0)),1)*INDEX(Prices!$L$5:$L$82,MATCH(C17,Prices!$A$5:$A$82,0)),J17))</f>
        <v>1.99</v>
      </c>
      <c r="L17" s="21"/>
      <c r="M17" s="27" t="str">
        <f aca="false">IFERROR(IF(INDEX(Prices!$O$5:$O$82,MATCH(C17,Prices!$A$5:$A$82,0))="","",HYPERLINK(INDEX(Prices!$O$5:$O$82,MATCH(C17,Prices!$A$5:$A$82,0)),INDEX(Prices!$D$5:$D$82,MATCH(C17,Prices!$A$5:$A$82,0)))),"")</f>
        <v>Canada Robotix</v>
      </c>
    </row>
    <row r="18" customFormat="false" ht="15" hidden="false" customHeight="false" outlineLevel="0" collapsed="false">
      <c r="A18" s="20" t="s">
        <v>502</v>
      </c>
      <c r="B18" s="21" t="s">
        <v>567</v>
      </c>
      <c r="C18" s="29" t="s">
        <v>370</v>
      </c>
      <c r="D18" s="22" t="n">
        <v>1</v>
      </c>
      <c r="E18" s="30" t="n">
        <f aca="false">INDEX(Prices!$I$5:$I$82,MATCH(C18,Prices!$A$5:$A$82,0))</f>
        <v>0.398</v>
      </c>
      <c r="F18" s="24" t="n">
        <f aca="false">D18*E18</f>
        <v>0.398</v>
      </c>
      <c r="G18" s="29" t="n">
        <f aca="false">INDEX(Prices!$E$5:$E$82,MATCH(C18,Prices!$A$5:$A$82,0))</f>
        <v>5</v>
      </c>
      <c r="H18" s="20" t="n">
        <f aca="false">IF(D18&lt;=0,0,CEILING(D18/G18,1))</f>
        <v>1</v>
      </c>
      <c r="I18" s="30" t="n">
        <f aca="false">INDEX(Prices!$H$5:$H$82,MATCH(C18,Prices!$A$5:$A$82,0))</f>
        <v>1.99</v>
      </c>
      <c r="J18" s="24" t="n">
        <f aca="false">H18*I18</f>
        <v>1.99</v>
      </c>
      <c r="K18" s="24" t="n">
        <f aca="false">IF(D18&lt;=0,0,IF(ISNUMBER(INDEX(Prices!$L$5:$L$82,MATCH(C18,Prices!$A$5:$A$82,0))),CEILING(D18/INDEX(Prices!$K$5:$K$82,MATCH(C18,Prices!$A$5:$A$82,0)),1)*INDEX(Prices!$L$5:$L$82,MATCH(C18,Prices!$A$5:$A$82,0)),J18))</f>
        <v>1.99</v>
      </c>
      <c r="L18" s="21"/>
      <c r="M18" s="27" t="str">
        <f aca="false">IFERROR(IF(INDEX(Prices!$O$5:$O$82,MATCH(C18,Prices!$A$5:$A$82,0))="","",HYPERLINK(INDEX(Prices!$O$5:$O$82,MATCH(C18,Prices!$A$5:$A$82,0)),INDEX(Prices!$D$5:$D$82,MATCH(C18,Prices!$A$5:$A$82,0)))),"")</f>
        <v>Canada Robotix</v>
      </c>
    </row>
    <row r="19" customFormat="false" ht="15" hidden="false" customHeight="false" outlineLevel="0" collapsed="false">
      <c r="A19" s="20" t="s">
        <v>514</v>
      </c>
      <c r="B19" s="21" t="s">
        <v>568</v>
      </c>
      <c r="C19" s="29" t="s">
        <v>360</v>
      </c>
      <c r="D19" s="22" t="n">
        <v>0.1</v>
      </c>
      <c r="E19" s="30" t="n">
        <f aca="false">INDEX(Prices!$I$5:$I$82,MATCH(C19,Prices!$A$5:$A$82,0))</f>
        <v>12.95</v>
      </c>
      <c r="F19" s="24" t="n">
        <f aca="false">D19*E19</f>
        <v>1.295</v>
      </c>
      <c r="G19" s="29" t="n">
        <f aca="false">INDEX(Prices!$E$5:$E$82,MATCH(C19,Prices!$A$5:$A$82,0))</f>
        <v>1</v>
      </c>
      <c r="H19" s="20" t="n">
        <f aca="false">IF(D19&lt;=0,0,CEILING(D19/G19,1))</f>
        <v>1</v>
      </c>
      <c r="I19" s="30" t="n">
        <f aca="false">INDEX(Prices!$H$5:$H$82,MATCH(C19,Prices!$A$5:$A$82,0))</f>
        <v>12.95</v>
      </c>
      <c r="J19" s="24" t="n">
        <f aca="false">H19*I19</f>
        <v>12.95</v>
      </c>
      <c r="K19" s="24" t="n">
        <f aca="false">IF(D19&lt;=0,0,IF(ISNUMBER(INDEX(Prices!$L$5:$L$82,MATCH(C19,Prices!$A$5:$A$82,0))),CEILING(D19/INDEX(Prices!$K$5:$K$82,MATCH(C19,Prices!$A$5:$A$82,0)),1)*INDEX(Prices!$L$5:$L$82,MATCH(C19,Prices!$A$5:$A$82,0)),J19))</f>
        <v>12.95</v>
      </c>
      <c r="L19" s="21" t="s">
        <v>520</v>
      </c>
      <c r="M19" s="27" t="str">
        <f aca="false">IFERROR(IF(INDEX(Prices!$O$5:$O$82,MATCH(C19,Prices!$A$5:$A$82,0))="","",HYPERLINK(INDEX(Prices!$O$5:$O$82,MATCH(C19,Prices!$A$5:$A$82,0)),INDEX(Prices!$D$5:$D$82,MATCH(C19,Prices!$A$5:$A$82,0)))),"")</f>
        <v>BC Robotics</v>
      </c>
    </row>
    <row r="20" customFormat="false" ht="15" hidden="false" customHeight="false" outlineLevel="0" collapsed="false">
      <c r="A20" s="20" t="s">
        <v>514</v>
      </c>
      <c r="B20" s="21" t="s">
        <v>569</v>
      </c>
      <c r="C20" s="29" t="s">
        <v>355</v>
      </c>
      <c r="D20" s="22" t="n">
        <v>1</v>
      </c>
      <c r="E20" s="30" t="n">
        <f aca="false">INDEX(Prices!$I$5:$I$82,MATCH(C20,Prices!$A$5:$A$82,0))</f>
        <v>0.1</v>
      </c>
      <c r="F20" s="24" t="n">
        <f aca="false">D20*E20</f>
        <v>0.1</v>
      </c>
      <c r="G20" s="29" t="n">
        <f aca="false">INDEX(Prices!$E$5:$E$82,MATCH(C20,Prices!$A$5:$A$82,0))</f>
        <v>10</v>
      </c>
      <c r="H20" s="20" t="n">
        <f aca="false">IF(D20&lt;=0,0,CEILING(D20/G20,1))</f>
        <v>1</v>
      </c>
      <c r="I20" s="30" t="n">
        <f aca="false">INDEX(Prices!$H$5:$H$82,MATCH(C20,Prices!$A$5:$A$82,0))</f>
        <v>1</v>
      </c>
      <c r="J20" s="24" t="n">
        <f aca="false">H20*I20</f>
        <v>1</v>
      </c>
      <c r="K20" s="24" t="n">
        <f aca="false">IF(D20&lt;=0,0,IF(ISNUMBER(INDEX(Prices!$L$5:$L$82,MATCH(C20,Prices!$A$5:$A$82,0))),CEILING(D20/INDEX(Prices!$K$5:$K$82,MATCH(C20,Prices!$A$5:$A$82,0)),1)*INDEX(Prices!$L$5:$L$82,MATCH(C20,Prices!$A$5:$A$82,0)),J20))</f>
        <v>1</v>
      </c>
      <c r="L20" s="21" t="s">
        <v>570</v>
      </c>
      <c r="M20" s="27" t="str">
        <f aca="false">IFERROR(IF(INDEX(Prices!$O$5:$O$82,MATCH(C20,Prices!$A$5:$A$82,0))="","",HYPERLINK(INDEX(Prices!$O$5:$O$82,MATCH(C20,Prices!$A$5:$A$82,0)),INDEX(Prices!$D$5:$D$82,MATCH(C20,Prices!$A$5:$A$82,0)))),"")</f>
        <v>BC Robotics</v>
      </c>
    </row>
    <row r="21" customFormat="false" ht="15" hidden="false" customHeight="false" outlineLevel="0" collapsed="false">
      <c r="A21" s="20" t="s">
        <v>514</v>
      </c>
      <c r="B21" s="21" t="s">
        <v>571</v>
      </c>
      <c r="C21" s="29" t="s">
        <v>195</v>
      </c>
      <c r="D21" s="22" t="n">
        <v>15</v>
      </c>
      <c r="E21" s="30" t="n">
        <f aca="false">INDEX(Prices!$I$5:$I$82,MATCH(C21,Prices!$A$5:$A$82,0))</f>
        <v>0.1425</v>
      </c>
      <c r="F21" s="24" t="n">
        <f aca="false">D21*E21</f>
        <v>2.1375</v>
      </c>
      <c r="G21" s="29" t="n">
        <f aca="false">INDEX(Prices!$E$5:$E$82,MATCH(C21,Prices!$A$5:$A$82,0))</f>
        <v>40</v>
      </c>
      <c r="H21" s="20" t="n">
        <f aca="false">IF(D21&lt;=0,0,CEILING(D21/G21,1))</f>
        <v>1</v>
      </c>
      <c r="I21" s="30" t="n">
        <f aca="false">INDEX(Prices!$H$5:$H$82,MATCH(C21,Prices!$A$5:$A$82,0))</f>
        <v>5.7</v>
      </c>
      <c r="J21" s="24" t="n">
        <f aca="false">H21*I21</f>
        <v>5.7</v>
      </c>
      <c r="K21" s="24" t="n">
        <f aca="false">IF(D21&lt;=0,0,IF(ISNUMBER(INDEX(Prices!$L$5:$L$82,MATCH(C21,Prices!$A$5:$A$82,0))),CEILING(D21/INDEX(Prices!$K$5:$K$82,MATCH(C21,Prices!$A$5:$A$82,0)),1)*INDEX(Prices!$L$5:$L$82,MATCH(C21,Prices!$A$5:$A$82,0)),J21))</f>
        <v>5.7</v>
      </c>
      <c r="L21" s="21"/>
      <c r="M21" s="27" t="str">
        <f aca="false">IFERROR(IF(INDEX(Prices!$O$5:$O$82,MATCH(C21,Prices!$A$5:$A$82,0))="","",HYPERLINK(INDEX(Prices!$O$5:$O$82,MATCH(C21,Prices!$A$5:$A$82,0)),INDEX(Prices!$D$5:$D$82,MATCH(C21,Prices!$A$5:$A$82,0)))),"")</f>
        <v>RobotShop (Canada)</v>
      </c>
    </row>
    <row r="22" customFormat="false" ht="15" hidden="false" customHeight="false" outlineLevel="0" collapsed="false">
      <c r="A22" s="20" t="s">
        <v>514</v>
      </c>
      <c r="B22" s="21" t="s">
        <v>572</v>
      </c>
      <c r="C22" s="29" t="s">
        <v>464</v>
      </c>
      <c r="D22" s="22" t="n">
        <v>0.1</v>
      </c>
      <c r="E22" s="30" t="n">
        <f aca="false">INDEX(Prices!$I$5:$I$82,MATCH(C22,Prices!$A$5:$A$82,0))</f>
        <v>19.93</v>
      </c>
      <c r="F22" s="24" t="n">
        <f aca="false">D22*E22</f>
        <v>1.993</v>
      </c>
      <c r="G22" s="29" t="n">
        <f aca="false">INDEX(Prices!$E$5:$E$82,MATCH(C22,Prices!$A$5:$A$82,0))</f>
        <v>1</v>
      </c>
      <c r="H22" s="20" t="n">
        <f aca="false">IF(D22&lt;=0,0,CEILING(D22/G22,1))</f>
        <v>1</v>
      </c>
      <c r="I22" s="30" t="n">
        <f aca="false">INDEX(Prices!$H$5:$H$82,MATCH(C22,Prices!$A$5:$A$82,0))</f>
        <v>19.93</v>
      </c>
      <c r="J22" s="24" t="n">
        <f aca="false">H22*I22</f>
        <v>19.93</v>
      </c>
      <c r="K22" s="24" t="n">
        <f aca="false">IF(D22&lt;=0,0,IF(ISNUMBER(INDEX(Prices!$L$5:$L$82,MATCH(C22,Prices!$A$5:$A$82,0))),CEILING(D22/INDEX(Prices!$K$5:$K$82,MATCH(C22,Prices!$A$5:$A$82,0)),1)*INDEX(Prices!$L$5:$L$82,MATCH(C22,Prices!$A$5:$A$82,0)),J22))</f>
        <v>19.93</v>
      </c>
      <c r="L22" s="21" t="s">
        <v>527</v>
      </c>
      <c r="M22" s="27" t="str">
        <f aca="false">IFERROR(IF(INDEX(Prices!$O$5:$O$82,MATCH(C22,Prices!$A$5:$A$82,0))="","",HYPERLINK(INDEX(Prices!$O$5:$O$82,MATCH(C22,Prices!$A$5:$A$82,0)),INDEX(Prices!$D$5:$D$82,MATCH(C22,Prices!$A$5:$A$82,0)))),"")</f>
        <v>RobotShop (Canada)</v>
      </c>
    </row>
    <row r="23" customFormat="false" ht="15" hidden="false" customHeight="false" outlineLevel="0" collapsed="false">
      <c r="A23" s="20" t="s">
        <v>514</v>
      </c>
      <c r="B23" s="21" t="s">
        <v>526</v>
      </c>
      <c r="C23" s="29" t="s">
        <v>169</v>
      </c>
      <c r="D23" s="22" t="n">
        <v>0.1</v>
      </c>
      <c r="E23" s="30" t="n">
        <f aca="false">INDEX(Prices!$I$5:$I$82,MATCH(C23,Prices!$A$5:$A$82,0))</f>
        <v>12.84</v>
      </c>
      <c r="F23" s="24" t="n">
        <f aca="false">D23*E23</f>
        <v>1.284</v>
      </c>
      <c r="G23" s="29" t="n">
        <f aca="false">INDEX(Prices!$E$5:$E$82,MATCH(C23,Prices!$A$5:$A$82,0))</f>
        <v>1</v>
      </c>
      <c r="H23" s="20" t="n">
        <f aca="false">IF(D23&lt;=0,0,CEILING(D23/G23,1))</f>
        <v>1</v>
      </c>
      <c r="I23" s="30" t="n">
        <f aca="false">INDEX(Prices!$H$5:$H$82,MATCH(C23,Prices!$A$5:$A$82,0))</f>
        <v>12.84</v>
      </c>
      <c r="J23" s="24" t="n">
        <f aca="false">H23*I23</f>
        <v>12.84</v>
      </c>
      <c r="K23" s="24" t="n">
        <f aca="false">IF(D23&lt;=0,0,IF(ISNUMBER(INDEX(Prices!$L$5:$L$82,MATCH(C23,Prices!$A$5:$A$82,0))),CEILING(D23/INDEX(Prices!$K$5:$K$82,MATCH(C23,Prices!$A$5:$A$82,0)),1)*INDEX(Prices!$L$5:$L$82,MATCH(C23,Prices!$A$5:$A$82,0)),J23))</f>
        <v>12.84</v>
      </c>
      <c r="L23" s="21" t="s">
        <v>527</v>
      </c>
      <c r="M23" s="27" t="str">
        <f aca="false">IFERROR(IF(INDEX(Prices!$O$5:$O$82,MATCH(C23,Prices!$A$5:$A$82,0))="","",HYPERLINK(INDEX(Prices!$O$5:$O$82,MATCH(C23,Prices!$A$5:$A$82,0)),INDEX(Prices!$D$5:$D$82,MATCH(C23,Prices!$A$5:$A$82,0)))),"")</f>
        <v>RobotShop (Canada)</v>
      </c>
    </row>
    <row r="24" customFormat="false" ht="15" hidden="false" customHeight="false" outlineLevel="0" collapsed="false">
      <c r="A24" s="20" t="s">
        <v>514</v>
      </c>
      <c r="B24" s="21" t="s">
        <v>480</v>
      </c>
      <c r="C24" s="29" t="s">
        <v>479</v>
      </c>
      <c r="D24" s="22" t="n">
        <v>5</v>
      </c>
      <c r="E24" s="30" t="n">
        <f aca="false">INDEX(Prices!$I$5:$I$82,MATCH(C24,Prices!$A$5:$A$82,0))</f>
        <v>0.0599</v>
      </c>
      <c r="F24" s="24" t="n">
        <f aca="false">D24*E24</f>
        <v>0.2995</v>
      </c>
      <c r="G24" s="29" t="n">
        <f aca="false">INDEX(Prices!$E$5:$E$82,MATCH(C24,Prices!$A$5:$A$82,0))</f>
        <v>100</v>
      </c>
      <c r="H24" s="20" t="n">
        <f aca="false">IF(D24&lt;=0,0,CEILING(D24/G24,1))</f>
        <v>1</v>
      </c>
      <c r="I24" s="30" t="n">
        <f aca="false">INDEX(Prices!$H$5:$H$82,MATCH(C24,Prices!$A$5:$A$82,0))</f>
        <v>5.99</v>
      </c>
      <c r="J24" s="24" t="n">
        <f aca="false">H24*I24</f>
        <v>5.99</v>
      </c>
      <c r="K24" s="24" t="n">
        <f aca="false">IF(D24&lt;=0,0,IF(ISNUMBER(INDEX(Prices!$L$5:$L$82,MATCH(C24,Prices!$A$5:$A$82,0))),CEILING(D24/INDEX(Prices!$K$5:$K$82,MATCH(C24,Prices!$A$5:$A$82,0)),1)*INDEX(Prices!$L$5:$L$82,MATCH(C24,Prices!$A$5:$A$82,0)),J24))</f>
        <v>5.99</v>
      </c>
      <c r="L24" s="21"/>
      <c r="M24" s="27" t="str">
        <f aca="false">IFERROR(IF(INDEX(Prices!$O$5:$O$82,MATCH(C24,Prices!$A$5:$A$82,0))="","",HYPERLINK(INDEX(Prices!$O$5:$O$82,MATCH(C24,Prices!$A$5:$A$82,0)),INDEX(Prices!$D$5:$D$82,MATCH(C24,Prices!$A$5:$A$82,0)))),"")</f>
        <v>Princess Auto</v>
      </c>
    </row>
    <row r="25" customFormat="false" ht="15" hidden="false" customHeight="false" outlineLevel="0" collapsed="false">
      <c r="A25" s="20" t="s">
        <v>514</v>
      </c>
      <c r="B25" s="21" t="s">
        <v>573</v>
      </c>
      <c r="C25" s="29" t="s">
        <v>454</v>
      </c>
      <c r="D25" s="22" t="n">
        <v>1</v>
      </c>
      <c r="E25" s="30" t="n">
        <f aca="false">INDEX(Prices!$I$5:$I$82,MATCH(C25,Prices!$A$5:$A$82,0))</f>
        <v>4.491753</v>
      </c>
      <c r="F25" s="24" t="n">
        <f aca="false">D25*E25</f>
        <v>4.491753</v>
      </c>
      <c r="G25" s="29" t="n">
        <f aca="false">INDEX(Prices!$E$5:$E$82,MATCH(C25,Prices!$A$5:$A$82,0))</f>
        <v>2</v>
      </c>
      <c r="H25" s="20" t="n">
        <f aca="false">IF(D25&lt;=0,0,CEILING(D25/G25,1))</f>
        <v>1</v>
      </c>
      <c r="I25" s="30" t="n">
        <f aca="false">INDEX(Prices!$H$5:$H$82,MATCH(C25,Prices!$A$5:$A$82,0))</f>
        <v>8.983506</v>
      </c>
      <c r="J25" s="24" t="n">
        <f aca="false">H25*I25</f>
        <v>8.983506</v>
      </c>
      <c r="K25" s="24" t="n">
        <f aca="false">IF(D25&lt;=0,0,IF(ISNUMBER(INDEX(Prices!$L$5:$L$82,MATCH(C25,Prices!$A$5:$A$82,0))),CEILING(D25/INDEX(Prices!$K$5:$K$82,MATCH(C25,Prices!$A$5:$A$82,0)),1)*INDEX(Prices!$L$5:$L$82,MATCH(C25,Prices!$A$5:$A$82,0)),J25))</f>
        <v>8.983506</v>
      </c>
      <c r="L25" s="21"/>
      <c r="M25" s="27" t="str">
        <f aca="false">IFERROR(IF(INDEX(Prices!$O$5:$O$82,MATCH(C25,Prices!$A$5:$A$82,0))="","",HYPERLINK(INDEX(Prices!$O$5:$O$82,MATCH(C25,Prices!$A$5:$A$82,0)),INDEX(Prices!$D$5:$D$82,MATCH(C25,Prices!$A$5:$A$82,0)))),"")</f>
        <v>Rotor Village</v>
      </c>
    </row>
    <row r="26" customFormat="false" ht="15" hidden="false" customHeight="false" outlineLevel="0" collapsed="false">
      <c r="A26" s="20" t="s">
        <v>528</v>
      </c>
      <c r="B26" s="21" t="s">
        <v>574</v>
      </c>
      <c r="C26" s="29" t="s">
        <v>261</v>
      </c>
      <c r="D26" s="22" t="n">
        <v>4</v>
      </c>
      <c r="E26" s="30" t="n">
        <f aca="false">INDEX(Prices!$I$5:$I$82,MATCH(C26,Prices!$A$5:$A$82,0))</f>
        <v>1.2</v>
      </c>
      <c r="F26" s="24" t="n">
        <f aca="false">D26*E26</f>
        <v>4.8</v>
      </c>
      <c r="G26" s="29" t="n">
        <f aca="false">INDEX(Prices!$E$5:$E$82,MATCH(C26,Prices!$A$5:$A$82,0))</f>
        <v>10</v>
      </c>
      <c r="H26" s="20" t="n">
        <f aca="false">IF(D26&lt;=0,0,CEILING(D26/G26,1))</f>
        <v>1</v>
      </c>
      <c r="I26" s="30" t="n">
        <f aca="false">INDEX(Prices!$H$5:$H$82,MATCH(C26,Prices!$A$5:$A$82,0))</f>
        <v>12</v>
      </c>
      <c r="J26" s="24" t="n">
        <f aca="false">H26*I26</f>
        <v>12</v>
      </c>
      <c r="K26" s="24" t="n">
        <f aca="false">IF(D26&lt;=0,0,IF(ISNUMBER(INDEX(Prices!$L$5:$L$82,MATCH(C26,Prices!$A$5:$A$82,0))),CEILING(D26/INDEX(Prices!$K$5:$K$82,MATCH(C26,Prices!$A$5:$A$82,0)),1)*INDEX(Prices!$L$5:$L$82,MATCH(C26,Prices!$A$5:$A$82,0)),J26))</f>
        <v>12</v>
      </c>
      <c r="L26" s="21" t="s">
        <v>575</v>
      </c>
      <c r="M26" s="27" t="str">
        <f aca="false">IFERROR(IF(INDEX(Prices!$O$5:$O$82,MATCH(C26,Prices!$A$5:$A$82,0))="","",HYPERLINK(INDEX(Prices!$O$5:$O$82,MATCH(C26,Prices!$A$5:$A$82,0)),INDEX(Prices!$D$5:$D$82,MATCH(C26,Prices!$A$5:$A$82,0)))),"")</f>
        <v>Amazon.ca (typical)</v>
      </c>
    </row>
    <row r="27" customFormat="false" ht="15" hidden="false" customHeight="false" outlineLevel="0" collapsed="false">
      <c r="A27" s="20" t="s">
        <v>528</v>
      </c>
      <c r="B27" s="21" t="s">
        <v>576</v>
      </c>
      <c r="C27" s="29" t="s">
        <v>255</v>
      </c>
      <c r="D27" s="22" t="n">
        <v>2</v>
      </c>
      <c r="E27" s="30" t="n">
        <f aca="false">INDEX(Prices!$I$5:$I$82,MATCH(C27,Prices!$A$5:$A$82,0))</f>
        <v>1.1</v>
      </c>
      <c r="F27" s="24" t="n">
        <f aca="false">D27*E27</f>
        <v>2.2</v>
      </c>
      <c r="G27" s="29" t="n">
        <f aca="false">INDEX(Prices!$E$5:$E$82,MATCH(C27,Prices!$A$5:$A$82,0))</f>
        <v>10</v>
      </c>
      <c r="H27" s="20" t="n">
        <f aca="false">IF(D27&lt;=0,0,CEILING(D27/G27,1))</f>
        <v>1</v>
      </c>
      <c r="I27" s="30" t="n">
        <f aca="false">INDEX(Prices!$H$5:$H$82,MATCH(C27,Prices!$A$5:$A$82,0))</f>
        <v>11</v>
      </c>
      <c r="J27" s="24" t="n">
        <f aca="false">H27*I27</f>
        <v>11</v>
      </c>
      <c r="K27" s="24" t="n">
        <f aca="false">IF(D27&lt;=0,0,IF(ISNUMBER(INDEX(Prices!$L$5:$L$82,MATCH(C27,Prices!$A$5:$A$82,0))),CEILING(D27/INDEX(Prices!$K$5:$K$82,MATCH(C27,Prices!$A$5:$A$82,0)),1)*INDEX(Prices!$L$5:$L$82,MATCH(C27,Prices!$A$5:$A$82,0)),J27))</f>
        <v>11</v>
      </c>
      <c r="L27" s="21"/>
      <c r="M27" s="27" t="str">
        <f aca="false">IFERROR(IF(INDEX(Prices!$O$5:$O$82,MATCH(C27,Prices!$A$5:$A$82,0))="","",HYPERLINK(INDEX(Prices!$O$5:$O$82,MATCH(C27,Prices!$A$5:$A$82,0)),INDEX(Prices!$D$5:$D$82,MATCH(C27,Prices!$A$5:$A$82,0)))),"")</f>
        <v>Amazon.ca (typical)</v>
      </c>
    </row>
    <row r="28" customFormat="false" ht="15" hidden="false" customHeight="false" outlineLevel="0" collapsed="false">
      <c r="A28" s="20" t="s">
        <v>528</v>
      </c>
      <c r="B28" s="21" t="s">
        <v>577</v>
      </c>
      <c r="C28" s="29" t="s">
        <v>282</v>
      </c>
      <c r="D28" s="22" t="n">
        <v>0.08</v>
      </c>
      <c r="E28" s="30" t="n">
        <f aca="false">INDEX(Prices!$I$5:$I$82,MATCH(C28,Prices!$A$5:$A$82,0))</f>
        <v>24</v>
      </c>
      <c r="F28" s="24" t="n">
        <f aca="false">D28*E28</f>
        <v>1.92</v>
      </c>
      <c r="G28" s="29" t="n">
        <f aca="false">INDEX(Prices!$E$5:$E$82,MATCH(C28,Prices!$A$5:$A$82,0))</f>
        <v>1</v>
      </c>
      <c r="H28" s="20" t="n">
        <f aca="false">IF(D28&lt;=0,0,CEILING(D28/G28,1))</f>
        <v>1</v>
      </c>
      <c r="I28" s="30" t="n">
        <f aca="false">INDEX(Prices!$H$5:$H$82,MATCH(C28,Prices!$A$5:$A$82,0))</f>
        <v>24</v>
      </c>
      <c r="J28" s="24" t="n">
        <f aca="false">H28*I28</f>
        <v>24</v>
      </c>
      <c r="K28" s="24" t="n">
        <f aca="false">IF(D28&lt;=0,0,IF(ISNUMBER(INDEX(Prices!$L$5:$L$82,MATCH(C28,Prices!$A$5:$A$82,0))),CEILING(D28/INDEX(Prices!$K$5:$K$82,MATCH(C28,Prices!$A$5:$A$82,0)),1)*INDEX(Prices!$L$5:$L$82,MATCH(C28,Prices!$A$5:$A$82,0)),J28))</f>
        <v>24</v>
      </c>
      <c r="L28" s="21" t="s">
        <v>530</v>
      </c>
      <c r="M28" s="27" t="str">
        <f aca="false">IFERROR(IF(INDEX(Prices!$O$5:$O$82,MATCH(C28,Prices!$A$5:$A$82,0))="","",HYPERLINK(INDEX(Prices!$O$5:$O$82,MATCH(C28,Prices!$A$5:$A$82,0)),INDEX(Prices!$D$5:$D$82,MATCH(C28,Prices!$A$5:$A$82,0)))),"")</f>
        <v>Spool3D</v>
      </c>
    </row>
    <row r="29" customFormat="false" ht="15" hidden="false" customHeight="false" outlineLevel="0" collapsed="false">
      <c r="A29" s="20" t="s">
        <v>528</v>
      </c>
      <c r="B29" s="21" t="s">
        <v>578</v>
      </c>
      <c r="C29" s="29" t="s">
        <v>277</v>
      </c>
      <c r="D29" s="22" t="n">
        <v>2</v>
      </c>
      <c r="E29" s="30" t="n">
        <f aca="false">INDEX(Prices!$I$5:$I$82,MATCH(C29,Prices!$A$5:$A$82,0))</f>
        <v>0.15</v>
      </c>
      <c r="F29" s="24" t="n">
        <f aca="false">D29*E29</f>
        <v>0.3</v>
      </c>
      <c r="G29" s="29" t="n">
        <f aca="false">INDEX(Prices!$E$5:$E$82,MATCH(C29,Prices!$A$5:$A$82,0))</f>
        <v>1</v>
      </c>
      <c r="H29" s="20" t="n">
        <f aca="false">IF(D29&lt;=0,0,CEILING(D29/G29,1))</f>
        <v>2</v>
      </c>
      <c r="I29" s="30" t="n">
        <f aca="false">INDEX(Prices!$H$5:$H$82,MATCH(C29,Prices!$A$5:$A$82,0))</f>
        <v>0.15</v>
      </c>
      <c r="J29" s="24" t="n">
        <f aca="false">H29*I29</f>
        <v>0.3</v>
      </c>
      <c r="K29" s="24" t="n">
        <f aca="false">IF(D29&lt;=0,0,IF(ISNUMBER(INDEX(Prices!$L$5:$L$82,MATCH(C29,Prices!$A$5:$A$82,0))),CEILING(D29/INDEX(Prices!$K$5:$K$82,MATCH(C29,Prices!$A$5:$A$82,0)),1)*INDEX(Prices!$L$5:$L$82,MATCH(C29,Prices!$A$5:$A$82,0)),J29))</f>
        <v>0.3</v>
      </c>
      <c r="L29" s="21"/>
      <c r="M29" s="27" t="str">
        <f aca="false">IFERROR(IF(INDEX(Prices!$O$5:$O$82,MATCH(C29,Prices!$A$5:$A$82,0))="","",HYPERLINK(INDEX(Prices!$O$5:$O$82,MATCH(C29,Prices!$A$5:$A$82,0)),INDEX(Prices!$D$5:$D$82,MATCH(C29,Prices!$A$5:$A$82,0)))),"")</f>
        <v>Spool3D</v>
      </c>
    </row>
    <row r="30" customFormat="false" ht="15" hidden="false" customHeight="false" outlineLevel="0" collapsed="false">
      <c r="A30" s="20" t="s">
        <v>528</v>
      </c>
      <c r="B30" s="21" t="s">
        <v>273</v>
      </c>
      <c r="C30" s="29" t="s">
        <v>272</v>
      </c>
      <c r="D30" s="22" t="n">
        <v>6</v>
      </c>
      <c r="E30" s="30" t="n">
        <f aca="false">INDEX(Prices!$I$5:$I$82,MATCH(C30,Prices!$A$5:$A$82,0))</f>
        <v>0.095</v>
      </c>
      <c r="F30" s="24" t="n">
        <f aca="false">D30*E30</f>
        <v>0.57</v>
      </c>
      <c r="G30" s="29" t="n">
        <f aca="false">INDEX(Prices!$E$5:$E$82,MATCH(C30,Prices!$A$5:$A$82,0))</f>
        <v>10</v>
      </c>
      <c r="H30" s="20" t="n">
        <f aca="false">IF(D30&lt;=0,0,CEILING(D30/G30,1))</f>
        <v>1</v>
      </c>
      <c r="I30" s="30" t="n">
        <f aca="false">INDEX(Prices!$H$5:$H$82,MATCH(C30,Prices!$A$5:$A$82,0))</f>
        <v>0.95</v>
      </c>
      <c r="J30" s="24" t="n">
        <f aca="false">H30*I30</f>
        <v>0.95</v>
      </c>
      <c r="K30" s="24" t="n">
        <f aca="false">IF(D30&lt;=0,0,IF(ISNUMBER(INDEX(Prices!$L$5:$L$82,MATCH(C30,Prices!$A$5:$A$82,0))),CEILING(D30/INDEX(Prices!$K$5:$K$82,MATCH(C30,Prices!$A$5:$A$82,0)),1)*INDEX(Prices!$L$5:$L$82,MATCH(C30,Prices!$A$5:$A$82,0)),J30))</f>
        <v>0.95</v>
      </c>
      <c r="L30" s="21"/>
      <c r="M30" s="27" t="str">
        <f aca="false">IFERROR(IF(INDEX(Prices!$O$5:$O$82,MATCH(C30,Prices!$A$5:$A$82,0))="","",HYPERLINK(INDEX(Prices!$O$5:$O$82,MATCH(C30,Prices!$A$5:$A$82,0)),INDEX(Prices!$D$5:$D$82,MATCH(C30,Prices!$A$5:$A$82,0)))),"")</f>
        <v>RobotShop (Canada)</v>
      </c>
    </row>
    <row r="31" customFormat="false" ht="15" hidden="false" customHeight="false" outlineLevel="0" collapsed="false">
      <c r="A31" s="20" t="s">
        <v>528</v>
      </c>
      <c r="B31" s="21" t="s">
        <v>579</v>
      </c>
      <c r="C31" s="29" t="s">
        <v>265</v>
      </c>
      <c r="D31" s="22" t="n">
        <v>6</v>
      </c>
      <c r="E31" s="30" t="n">
        <f aca="false">INDEX(Prices!$I$5:$I$82,MATCH(C31,Prices!$A$5:$A$82,0))</f>
        <v>0.3</v>
      </c>
      <c r="F31" s="24" t="n">
        <f aca="false">D31*E31</f>
        <v>1.8</v>
      </c>
      <c r="G31" s="29" t="n">
        <f aca="false">INDEX(Prices!$E$5:$E$82,MATCH(C31,Prices!$A$5:$A$82,0))</f>
        <v>1</v>
      </c>
      <c r="H31" s="20" t="n">
        <f aca="false">IF(D31&lt;=0,0,CEILING(D31/G31,1))</f>
        <v>6</v>
      </c>
      <c r="I31" s="30" t="n">
        <f aca="false">INDEX(Prices!$H$5:$H$82,MATCH(C31,Prices!$A$5:$A$82,0))</f>
        <v>0.3</v>
      </c>
      <c r="J31" s="24" t="n">
        <f aca="false">H31*I31</f>
        <v>1.8</v>
      </c>
      <c r="K31" s="24" t="n">
        <f aca="false">IF(D31&lt;=0,0,IF(ISNUMBER(INDEX(Prices!$L$5:$L$82,MATCH(C31,Prices!$A$5:$A$82,0))),CEILING(D31/INDEX(Prices!$K$5:$K$82,MATCH(C31,Prices!$A$5:$A$82,0)),1)*INDEX(Prices!$L$5:$L$82,MATCH(C31,Prices!$A$5:$A$82,0)),J31))</f>
        <v>3</v>
      </c>
      <c r="L31" s="21"/>
      <c r="M31" s="27" t="str">
        <f aca="false">IFERROR(IF(INDEX(Prices!$O$5:$O$82,MATCH(C31,Prices!$A$5:$A$82,0))="","",HYPERLINK(INDEX(Prices!$O$5:$O$82,MATCH(C31,Prices!$A$5:$A$82,0)),INDEX(Prices!$D$5:$D$82,MATCH(C31,Prices!$A$5:$A$82,0)))),"")</f>
        <v>Spool3D (Canada)</v>
      </c>
    </row>
    <row r="32" customFormat="false" ht="15" hidden="false" customHeight="false" outlineLevel="0" collapsed="false">
      <c r="A32" s="20" t="s">
        <v>528</v>
      </c>
      <c r="B32" s="21" t="s">
        <v>293</v>
      </c>
      <c r="C32" s="29" t="s">
        <v>292</v>
      </c>
      <c r="D32" s="22" t="n">
        <v>26</v>
      </c>
      <c r="E32" s="30" t="n">
        <f aca="false">INDEX(Prices!$I$5:$I$82,MATCH(C32,Prices!$A$5:$A$82,0))</f>
        <v>0.04875</v>
      </c>
      <c r="F32" s="24" t="n">
        <f aca="false">D32*E32</f>
        <v>1.2675</v>
      </c>
      <c r="G32" s="29" t="n">
        <f aca="false">INDEX(Prices!$E$5:$E$82,MATCH(C32,Prices!$A$5:$A$82,0))</f>
        <v>40</v>
      </c>
      <c r="H32" s="20" t="n">
        <f aca="false">IF(D32&lt;=0,0,CEILING(D32/G32,1))</f>
        <v>1</v>
      </c>
      <c r="I32" s="30" t="n">
        <f aca="false">INDEX(Prices!$H$5:$H$82,MATCH(C32,Prices!$A$5:$A$82,0))</f>
        <v>1.95</v>
      </c>
      <c r="J32" s="24" t="n">
        <f aca="false">H32*I32</f>
        <v>1.95</v>
      </c>
      <c r="K32" s="24" t="n">
        <f aca="false">IF(D32&lt;=0,0,IF(ISNUMBER(INDEX(Prices!$L$5:$L$82,MATCH(C32,Prices!$A$5:$A$82,0))),CEILING(D32/INDEX(Prices!$K$5:$K$82,MATCH(C32,Prices!$A$5:$A$82,0)),1)*INDEX(Prices!$L$5:$L$82,MATCH(C32,Prices!$A$5:$A$82,0)),J32))</f>
        <v>1.95</v>
      </c>
      <c r="L32" s="21"/>
      <c r="M32" s="27" t="str">
        <f aca="false">IFERROR(IF(INDEX(Prices!$O$5:$O$82,MATCH(C32,Prices!$A$5:$A$82,0))="","",HYPERLINK(INDEX(Prices!$O$5:$O$82,MATCH(C32,Prices!$A$5:$A$82,0)),INDEX(Prices!$D$5:$D$82,MATCH(C32,Prices!$A$5:$A$82,0)))),"")</f>
        <v>BC Robotics</v>
      </c>
    </row>
    <row r="33" customFormat="false" ht="15" hidden="false" customHeight="false" outlineLevel="0" collapsed="false">
      <c r="A33" s="20" t="s">
        <v>528</v>
      </c>
      <c r="B33" s="21" t="s">
        <v>288</v>
      </c>
      <c r="C33" s="29" t="s">
        <v>287</v>
      </c>
      <c r="D33" s="22" t="n">
        <v>2</v>
      </c>
      <c r="E33" s="30" t="n">
        <f aca="false">INDEX(Prices!$I$5:$I$82,MATCH(C33,Prices!$A$5:$A$82,0))</f>
        <v>0.095</v>
      </c>
      <c r="F33" s="24" t="n">
        <f aca="false">D33*E33</f>
        <v>0.19</v>
      </c>
      <c r="G33" s="29" t="n">
        <f aca="false">INDEX(Prices!$E$5:$E$82,MATCH(C33,Prices!$A$5:$A$82,0))</f>
        <v>10</v>
      </c>
      <c r="H33" s="20" t="n">
        <f aca="false">IF(D33&lt;=0,0,CEILING(D33/G33,1))</f>
        <v>1</v>
      </c>
      <c r="I33" s="30" t="n">
        <f aca="false">INDEX(Prices!$H$5:$H$82,MATCH(C33,Prices!$A$5:$A$82,0))</f>
        <v>0.95</v>
      </c>
      <c r="J33" s="24" t="n">
        <f aca="false">H33*I33</f>
        <v>0.95</v>
      </c>
      <c r="K33" s="24" t="n">
        <f aca="false">IF(D33&lt;=0,0,IF(ISNUMBER(INDEX(Prices!$L$5:$L$82,MATCH(C33,Prices!$A$5:$A$82,0))),CEILING(D33/INDEX(Prices!$K$5:$K$82,MATCH(C33,Prices!$A$5:$A$82,0)),1)*INDEX(Prices!$L$5:$L$82,MATCH(C33,Prices!$A$5:$A$82,0)),J33))</f>
        <v>0.95</v>
      </c>
      <c r="L33" s="21"/>
      <c r="M33" s="27" t="str">
        <f aca="false">IFERROR(IF(INDEX(Prices!$O$5:$O$82,MATCH(C33,Prices!$A$5:$A$82,0))="","",HYPERLINK(INDEX(Prices!$O$5:$O$82,MATCH(C33,Prices!$A$5:$A$82,0)),INDEX(Prices!$D$5:$D$82,MATCH(C33,Prices!$A$5:$A$82,0)))),"")</f>
        <v>RobotShop CA</v>
      </c>
    </row>
    <row r="34" customFormat="false" ht="15" hidden="false" customHeight="false" outlineLevel="0" collapsed="false">
      <c r="A34" s="20" t="s">
        <v>528</v>
      </c>
      <c r="B34" s="21" t="s">
        <v>185</v>
      </c>
      <c r="C34" s="29" t="s">
        <v>184</v>
      </c>
      <c r="D34" s="22" t="n">
        <v>4</v>
      </c>
      <c r="E34" s="30" t="n">
        <f aca="false">INDEX(Prices!$I$5:$I$82,MATCH(C34,Prices!$A$5:$A$82,0))</f>
        <v>0.15</v>
      </c>
      <c r="F34" s="24" t="n">
        <f aca="false">D34*E34</f>
        <v>0.6</v>
      </c>
      <c r="G34" s="29" t="n">
        <f aca="false">INDEX(Prices!$E$5:$E$82,MATCH(C34,Prices!$A$5:$A$82,0))</f>
        <v>1</v>
      </c>
      <c r="H34" s="20" t="n">
        <f aca="false">IF(D34&lt;=0,0,CEILING(D34/G34,1))</f>
        <v>4</v>
      </c>
      <c r="I34" s="30" t="n">
        <f aca="false">INDEX(Prices!$H$5:$H$82,MATCH(C34,Prices!$A$5:$A$82,0))</f>
        <v>0.15</v>
      </c>
      <c r="J34" s="24" t="n">
        <f aca="false">H34*I34</f>
        <v>0.6</v>
      </c>
      <c r="K34" s="24" t="n">
        <f aca="false">IF(D34&lt;=0,0,IF(ISNUMBER(INDEX(Prices!$L$5:$L$82,MATCH(C34,Prices!$A$5:$A$82,0))),CEILING(D34/INDEX(Prices!$K$5:$K$82,MATCH(C34,Prices!$A$5:$A$82,0)),1)*INDEX(Prices!$L$5:$L$82,MATCH(C34,Prices!$A$5:$A$82,0)),J34))</f>
        <v>0.6</v>
      </c>
      <c r="L34" s="21"/>
      <c r="M34" s="27" t="str">
        <f aca="false">IFERROR(IF(INDEX(Prices!$O$5:$O$82,MATCH(C34,Prices!$A$5:$A$82,0))="","",HYPERLINK(INDEX(Prices!$O$5:$O$82,MATCH(C34,Prices!$A$5:$A$82,0)),INDEX(Prices!$D$5:$D$82,MATCH(C34,Prices!$A$5:$A$82,0)))),"")</f>
        <v>Spool3D</v>
      </c>
    </row>
    <row r="35" customFormat="false" ht="15" hidden="false" customHeight="false" outlineLevel="0" collapsed="false">
      <c r="A35" s="20" t="s">
        <v>528</v>
      </c>
      <c r="B35" s="21" t="s">
        <v>580</v>
      </c>
      <c r="C35" s="29" t="s">
        <v>129</v>
      </c>
      <c r="D35" s="22" t="n">
        <v>18</v>
      </c>
      <c r="E35" s="30" t="n">
        <f aca="false">INDEX(Prices!$I$5:$I$82,MATCH(C35,Prices!$A$5:$A$82,0))</f>
        <v>0.95</v>
      </c>
      <c r="F35" s="24" t="n">
        <f aca="false">D35*E35</f>
        <v>17.1</v>
      </c>
      <c r="G35" s="29" t="n">
        <f aca="false">INDEX(Prices!$E$5:$E$82,MATCH(C35,Prices!$A$5:$A$82,0))</f>
        <v>1</v>
      </c>
      <c r="H35" s="20" t="n">
        <f aca="false">IF(D35&lt;=0,0,CEILING(D35/G35,1))</f>
        <v>18</v>
      </c>
      <c r="I35" s="30" t="n">
        <f aca="false">INDEX(Prices!$H$5:$H$82,MATCH(C35,Prices!$A$5:$A$82,0))</f>
        <v>0.95</v>
      </c>
      <c r="J35" s="24" t="n">
        <f aca="false">H35*I35</f>
        <v>17.1</v>
      </c>
      <c r="K35" s="24" t="n">
        <f aca="false">IF(D35&lt;=0,0,IF(ISNUMBER(INDEX(Prices!$L$5:$L$82,MATCH(C35,Prices!$A$5:$A$82,0))),CEILING(D35/INDEX(Prices!$K$5:$K$82,MATCH(C35,Prices!$A$5:$A$82,0)),1)*INDEX(Prices!$L$5:$L$82,MATCH(C35,Prices!$A$5:$A$82,0)),J35))</f>
        <v>17.1</v>
      </c>
      <c r="L35" s="21" t="s">
        <v>581</v>
      </c>
      <c r="M35" s="27" t="str">
        <f aca="false">IFERROR(IF(INDEX(Prices!$O$5:$O$82,MATCH(C35,Prices!$A$5:$A$82,0))="","",HYPERLINK(INDEX(Prices!$O$5:$O$82,MATCH(C35,Prices!$A$5:$A$82,0)),INDEX(Prices!$D$5:$D$82,MATCH(C35,Prices!$A$5:$A$82,0)))),"")</f>
        <v>BC Robotics</v>
      </c>
    </row>
    <row r="36" customFormat="false" ht="15" hidden="false" customHeight="false" outlineLevel="0" collapsed="false">
      <c r="A36" s="20" t="s">
        <v>528</v>
      </c>
      <c r="B36" s="21" t="s">
        <v>582</v>
      </c>
      <c r="C36" s="29" t="s">
        <v>146</v>
      </c>
      <c r="D36" s="22" t="n">
        <v>1</v>
      </c>
      <c r="E36" s="30" t="n">
        <f aca="false">INDEX(Prices!$I$5:$I$82,MATCH(C36,Prices!$A$5:$A$82,0))</f>
        <v>12</v>
      </c>
      <c r="F36" s="24" t="n">
        <f aca="false">D36*E36</f>
        <v>12</v>
      </c>
      <c r="G36" s="29" t="n">
        <f aca="false">INDEX(Prices!$E$5:$E$82,MATCH(C36,Prices!$A$5:$A$82,0))</f>
        <v>1</v>
      </c>
      <c r="H36" s="20" t="n">
        <f aca="false">IF(D36&lt;=0,0,CEILING(D36/G36,1))</f>
        <v>1</v>
      </c>
      <c r="I36" s="30" t="n">
        <f aca="false">INDEX(Prices!$H$5:$H$82,MATCH(C36,Prices!$A$5:$A$82,0))</f>
        <v>12</v>
      </c>
      <c r="J36" s="24" t="n">
        <f aca="false">H36*I36</f>
        <v>12</v>
      </c>
      <c r="K36" s="24" t="n">
        <f aca="false">IF(D36&lt;=0,0,IF(ISNUMBER(INDEX(Prices!$L$5:$L$82,MATCH(C36,Prices!$A$5:$A$82,0))),CEILING(D36/INDEX(Prices!$K$5:$K$82,MATCH(C36,Prices!$A$5:$A$82,0)),1)*INDEX(Prices!$L$5:$L$82,MATCH(C36,Prices!$A$5:$A$82,0)),J36))</f>
        <v>12</v>
      </c>
      <c r="L36" s="21" t="s">
        <v>583</v>
      </c>
      <c r="M36" s="27" t="str">
        <f aca="false">IFERROR(IF(INDEX(Prices!$O$5:$O$82,MATCH(C36,Prices!$A$5:$A$82,0))="","",HYPERLINK(INDEX(Prices!$O$5:$O$82,MATCH(C36,Prices!$A$5:$A$82,0)),INDEX(Prices!$D$5:$D$82,MATCH(C36,Prices!$A$5:$A$82,0)))),"")</f>
        <v/>
      </c>
    </row>
    <row r="37" customFormat="false" ht="15" hidden="false" customHeight="false" outlineLevel="0" collapsed="false">
      <c r="A37" s="20" t="s">
        <v>540</v>
      </c>
      <c r="B37" s="21" t="s">
        <v>584</v>
      </c>
      <c r="C37" s="29" t="s">
        <v>103</v>
      </c>
      <c r="D37" s="22" t="n">
        <v>0.2</v>
      </c>
      <c r="E37" s="30" t="n">
        <f aca="false">INDEX(Prices!$I$5:$I$82,MATCH(C37,Prices!$A$5:$A$82,0))</f>
        <v>9.99</v>
      </c>
      <c r="F37" s="24" t="n">
        <f aca="false">D37*E37</f>
        <v>1.998</v>
      </c>
      <c r="G37" s="29" t="n">
        <f aca="false">INDEX(Prices!$E$5:$E$82,MATCH(C37,Prices!$A$5:$A$82,0))</f>
        <v>1</v>
      </c>
      <c r="H37" s="20" t="n">
        <f aca="false">IF(D37&lt;=0,0,CEILING(D37/G37,1))</f>
        <v>1</v>
      </c>
      <c r="I37" s="30" t="n">
        <f aca="false">INDEX(Prices!$H$5:$H$82,MATCH(C37,Prices!$A$5:$A$82,0))</f>
        <v>9.99</v>
      </c>
      <c r="J37" s="24" t="n">
        <f aca="false">H37*I37</f>
        <v>9.99</v>
      </c>
      <c r="K37" s="24" t="n">
        <f aca="false">IF(D37&lt;=0,0,IF(ISNUMBER(INDEX(Prices!$L$5:$L$82,MATCH(C37,Prices!$A$5:$A$82,0))),CEILING(D37/INDEX(Prices!$K$5:$K$82,MATCH(C37,Prices!$A$5:$A$82,0)),1)*INDEX(Prices!$L$5:$L$82,MATCH(C37,Prices!$A$5:$A$82,0)),J37))</f>
        <v>9.99</v>
      </c>
      <c r="L37" s="21" t="s">
        <v>585</v>
      </c>
      <c r="M37" s="27" t="str">
        <f aca="false">IFERROR(IF(INDEX(Prices!$O$5:$O$82,MATCH(C37,Prices!$A$5:$A$82,0))="","",HYPERLINK(INDEX(Prices!$O$5:$O$82,MATCH(C37,Prices!$A$5:$A$82,0)),INDEX(Prices!$D$5:$D$82,MATCH(C37,Prices!$A$5:$A$82,0)))),"")</f>
        <v>Princess Auto</v>
      </c>
    </row>
    <row r="38" customFormat="false" ht="15" hidden="false" customHeight="false" outlineLevel="0" collapsed="false">
      <c r="A38" s="20" t="s">
        <v>540</v>
      </c>
      <c r="B38" s="21" t="s">
        <v>109</v>
      </c>
      <c r="C38" s="29" t="s">
        <v>108</v>
      </c>
      <c r="D38" s="22" t="n">
        <v>2</v>
      </c>
      <c r="E38" s="30" t="n">
        <f aca="false">INDEX(Prices!$I$5:$I$82,MATCH(C38,Prices!$A$5:$A$82,0))</f>
        <v>0.5825</v>
      </c>
      <c r="F38" s="24" t="n">
        <f aca="false">D38*E38</f>
        <v>1.165</v>
      </c>
      <c r="G38" s="29" t="n">
        <f aca="false">INDEX(Prices!$E$5:$E$82,MATCH(C38,Prices!$A$5:$A$82,0))</f>
        <v>12</v>
      </c>
      <c r="H38" s="20" t="n">
        <f aca="false">IF(D38&lt;=0,0,CEILING(D38/G38,1))</f>
        <v>1</v>
      </c>
      <c r="I38" s="30" t="n">
        <f aca="false">INDEX(Prices!$H$5:$H$82,MATCH(C38,Prices!$A$5:$A$82,0))</f>
        <v>6.99</v>
      </c>
      <c r="J38" s="24" t="n">
        <f aca="false">H38*I38</f>
        <v>6.99</v>
      </c>
      <c r="K38" s="24" t="n">
        <f aca="false">IF(D38&lt;=0,0,IF(ISNUMBER(INDEX(Prices!$L$5:$L$82,MATCH(C38,Prices!$A$5:$A$82,0))),CEILING(D38/INDEX(Prices!$K$5:$K$82,MATCH(C38,Prices!$A$5:$A$82,0)),1)*INDEX(Prices!$L$5:$L$82,MATCH(C38,Prices!$A$5:$A$82,0)),J38))</f>
        <v>6.99</v>
      </c>
      <c r="L38" s="21"/>
      <c r="M38" s="27" t="str">
        <f aca="false">IFERROR(IF(INDEX(Prices!$O$5:$O$82,MATCH(C38,Prices!$A$5:$A$82,0))="","",HYPERLINK(INDEX(Prices!$O$5:$O$82,MATCH(C38,Prices!$A$5:$A$82,0)),INDEX(Prices!$D$5:$D$82,MATCH(C38,Prices!$A$5:$A$82,0)))),"")</f>
        <v>Princess Auto</v>
      </c>
    </row>
    <row r="39" customFormat="false" ht="15" hidden="false" customHeight="false" outlineLevel="0" collapsed="false">
      <c r="A39" s="20" t="s">
        <v>540</v>
      </c>
      <c r="B39" s="21" t="s">
        <v>586</v>
      </c>
      <c r="C39" s="29" t="s">
        <v>113</v>
      </c>
      <c r="D39" s="22" t="n">
        <v>0.2</v>
      </c>
      <c r="E39" s="30" t="n">
        <f aca="false">INDEX(Prices!$I$5:$I$82,MATCH(C39,Prices!$A$5:$A$82,0))</f>
        <v>11.41</v>
      </c>
      <c r="F39" s="24" t="n">
        <f aca="false">D39*E39</f>
        <v>2.282</v>
      </c>
      <c r="G39" s="29" t="n">
        <f aca="false">INDEX(Prices!$E$5:$E$82,MATCH(C39,Prices!$A$5:$A$82,0))</f>
        <v>1</v>
      </c>
      <c r="H39" s="20" t="n">
        <f aca="false">IF(D39&lt;=0,0,CEILING(D39/G39,1))</f>
        <v>1</v>
      </c>
      <c r="I39" s="30" t="n">
        <f aca="false">INDEX(Prices!$H$5:$H$82,MATCH(C39,Prices!$A$5:$A$82,0))</f>
        <v>11.41</v>
      </c>
      <c r="J39" s="24" t="n">
        <f aca="false">H39*I39</f>
        <v>11.41</v>
      </c>
      <c r="K39" s="24" t="n">
        <f aca="false">IF(D39&lt;=0,0,IF(ISNUMBER(INDEX(Prices!$L$5:$L$82,MATCH(C39,Prices!$A$5:$A$82,0))),CEILING(D39/INDEX(Prices!$K$5:$K$82,MATCH(C39,Prices!$A$5:$A$82,0)),1)*INDEX(Prices!$L$5:$L$82,MATCH(C39,Prices!$A$5:$A$82,0)),J39))</f>
        <v>11.41</v>
      </c>
      <c r="L39" s="21" t="s">
        <v>587</v>
      </c>
      <c r="M39" s="27" t="str">
        <f aca="false">IFERROR(IF(INDEX(Prices!$O$5:$O$82,MATCH(C39,Prices!$A$5:$A$82,0))="","",HYPERLINK(INDEX(Prices!$O$5:$O$82,MATCH(C39,Prices!$A$5:$A$82,0)),INDEX(Prices!$D$5:$D$82,MATCH(C39,Prices!$A$5:$A$82,0)))),"")</f>
        <v>RobotShop (Canada)</v>
      </c>
    </row>
    <row r="41" customFormat="false" ht="15" hidden="false" customHeight="false" outlineLevel="0" collapsed="false">
      <c r="A41" s="3" t="s">
        <v>544</v>
      </c>
    </row>
    <row r="42" customFormat="false" ht="15" hidden="false" customHeight="false" outlineLevel="0" collapsed="false">
      <c r="A42" s="4" t="s">
        <v>545</v>
      </c>
      <c r="B42" s="4" t="s">
        <v>546</v>
      </c>
      <c r="D42" s="31" t="n">
        <v>0.335</v>
      </c>
      <c r="E42" s="8" t="n">
        <f aca="false">Summary!$C$9</f>
        <v>14.99</v>
      </c>
      <c r="F42" s="32" t="n">
        <f aca="false">D42*E42</f>
        <v>5.02165</v>
      </c>
      <c r="J42" s="32" t="n">
        <f aca="false">CEILING(D42,1)*E42</f>
        <v>14.99</v>
      </c>
      <c r="K42" s="32" t="n">
        <f aca="false">F42</f>
        <v>5.02165</v>
      </c>
      <c r="L42" s="4" t="s">
        <v>588</v>
      </c>
    </row>
    <row r="43" customFormat="false" ht="15" hidden="false" customHeight="false" outlineLevel="0" collapsed="false">
      <c r="A43" s="4" t="s">
        <v>545</v>
      </c>
      <c r="B43" s="4" t="s">
        <v>548</v>
      </c>
      <c r="D43" s="31" t="n">
        <v>33</v>
      </c>
      <c r="E43" s="33" t="n">
        <f aca="false">Summary!$C$11*Summary!$C$10</f>
        <v>0.014256</v>
      </c>
      <c r="F43" s="32" t="n">
        <f aca="false">D43*E43</f>
        <v>0.470448</v>
      </c>
      <c r="J43" s="32" t="n">
        <f aca="false">D43*E43</f>
        <v>0.470448</v>
      </c>
      <c r="K43" s="32" t="n">
        <f aca="false">D43*E43</f>
        <v>0.470448</v>
      </c>
      <c r="L43" s="4" t="s">
        <v>549</v>
      </c>
    </row>
    <row r="45" customFormat="false" ht="15" hidden="false" customHeight="false" outlineLevel="0" collapsed="false">
      <c r="B45" s="34" t="s">
        <v>18</v>
      </c>
      <c r="F45" s="35" t="n">
        <f aca="false">SUM(F5:F39)+F42+F43</f>
        <v>198.357368</v>
      </c>
      <c r="J45" s="35" t="n">
        <f aca="false">SUM(J5:J39)+J42+J43</f>
        <v>339.859639</v>
      </c>
      <c r="K45" s="35" t="n">
        <f aca="false">SUM(K5:K39)+K42+K43</f>
        <v>292.152803</v>
      </c>
    </row>
    <row r="46" customFormat="false" ht="15" hidden="false" customHeight="false" outlineLevel="0" collapsed="false">
      <c r="B46" s="4" t="s">
        <v>550</v>
      </c>
      <c r="F46" s="32" t="n">
        <f aca="false">F45*Summary!$C$7</f>
        <v>29.7536052</v>
      </c>
      <c r="J46" s="32" t="n">
        <f aca="false">J45*Summary!$C$7</f>
        <v>50.97894585</v>
      </c>
      <c r="K46" s="32" t="n">
        <f aca="false">K45*Summary!$C$7</f>
        <v>43.82292045</v>
      </c>
    </row>
    <row r="47" customFormat="false" ht="15" hidden="false" customHeight="false" outlineLevel="0" collapsed="false">
      <c r="B47" s="34" t="s">
        <v>19</v>
      </c>
      <c r="F47" s="35" t="n">
        <f aca="false">F45+F46</f>
        <v>228.1109732</v>
      </c>
      <c r="J47" s="35" t="n">
        <f aca="false">J45+J46</f>
        <v>390.83858485</v>
      </c>
      <c r="K47" s="35" t="n">
        <f aca="false">K45+K46</f>
        <v>335.97572345</v>
      </c>
    </row>
  </sheetData>
  <mergeCells count="1">
    <mergeCell ref="A2:M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6"/>
    <col collapsed="false" customWidth="true" hidden="false" outlineLevel="0" max="3" min="3" style="0" width="18"/>
    <col collapsed="false" customWidth="true" hidden="false" outlineLevel="0" max="4" min="4" style="0" width="7"/>
    <col collapsed="false" customWidth="true" hidden="false" outlineLevel="0" max="5" min="5" style="0" width="10"/>
    <col collapsed="false" customWidth="true" hidden="false" outlineLevel="0" max="6" min="6" style="0" width="12"/>
    <col collapsed="false" customWidth="true" hidden="false" outlineLevel="0" max="8" min="7" style="0" width="8"/>
    <col collapsed="false" customWidth="true" hidden="false" outlineLevel="0" max="9" min="9" style="0" width="10"/>
    <col collapsed="false" customWidth="true" hidden="false" outlineLevel="0" max="11" min="10" style="0" width="11"/>
    <col collapsed="false" customWidth="true" hidden="false" outlineLevel="0" max="12" min="12" style="0" width="48"/>
    <col collapsed="false" customWidth="true" hidden="false" outlineLevel="0" max="13" min="13" style="0" width="14"/>
  </cols>
  <sheetData>
    <row r="1" customFormat="false" ht="19.7" hidden="false" customHeight="false" outlineLevel="0" collapsed="false">
      <c r="A1" s="1" t="s">
        <v>589</v>
      </c>
    </row>
    <row r="2" customFormat="false" ht="30" hidden="false" customHeight="true" outlineLevel="0" collapsed="false">
      <c r="A2" s="2" t="s">
        <v>485</v>
      </c>
      <c r="B2" s="2"/>
      <c r="C2" s="2"/>
      <c r="D2" s="2"/>
      <c r="E2" s="2"/>
      <c r="F2" s="2"/>
      <c r="G2" s="2"/>
      <c r="H2" s="2"/>
      <c r="I2" s="2"/>
      <c r="J2" s="2"/>
      <c r="K2" s="2"/>
      <c r="L2" s="2"/>
      <c r="M2" s="2"/>
    </row>
    <row r="4" customFormat="false" ht="23.85" hidden="false" customHeight="false" outlineLevel="0" collapsed="false">
      <c r="A4" s="11" t="s">
        <v>486</v>
      </c>
      <c r="B4" s="11" t="s">
        <v>37</v>
      </c>
      <c r="C4" s="11" t="s">
        <v>487</v>
      </c>
      <c r="D4" s="11" t="s">
        <v>488</v>
      </c>
      <c r="E4" s="11" t="s">
        <v>489</v>
      </c>
      <c r="F4" s="11" t="s">
        <v>490</v>
      </c>
      <c r="G4" s="11" t="s">
        <v>40</v>
      </c>
      <c r="H4" s="11" t="s">
        <v>491</v>
      </c>
      <c r="I4" s="11" t="s">
        <v>41</v>
      </c>
      <c r="J4" s="11" t="s">
        <v>492</v>
      </c>
      <c r="K4" s="11" t="s">
        <v>493</v>
      </c>
      <c r="L4" s="11" t="s">
        <v>49</v>
      </c>
      <c r="M4" s="11" t="s">
        <v>494</v>
      </c>
    </row>
    <row r="5" customFormat="false" ht="15" hidden="false" customHeight="false" outlineLevel="0" collapsed="false">
      <c r="A5" s="20" t="s">
        <v>495</v>
      </c>
      <c r="B5" s="21" t="s">
        <v>590</v>
      </c>
      <c r="C5" s="29" t="s">
        <v>297</v>
      </c>
      <c r="D5" s="22" t="n">
        <v>18</v>
      </c>
      <c r="E5" s="30" t="n">
        <f aca="false">INDEX(Prices!$I$5:$I$82,MATCH(C5,Prices!$A$5:$A$82,0))</f>
        <v>6</v>
      </c>
      <c r="F5" s="24" t="n">
        <f aca="false">D5*E5</f>
        <v>108</v>
      </c>
      <c r="G5" s="29" t="n">
        <f aca="false">INDEX(Prices!$E$5:$E$82,MATCH(C5,Prices!$A$5:$A$82,0))</f>
        <v>1</v>
      </c>
      <c r="H5" s="20" t="n">
        <f aca="false">IF(D5&lt;=0,0,CEILING(D5/G5,1))</f>
        <v>18</v>
      </c>
      <c r="I5" s="30" t="n">
        <f aca="false">INDEX(Prices!$H$5:$H$82,MATCH(C5,Prices!$A$5:$A$82,0))</f>
        <v>6</v>
      </c>
      <c r="J5" s="24" t="n">
        <f aca="false">H5*I5</f>
        <v>108</v>
      </c>
      <c r="K5" s="24" t="n">
        <f aca="false">IF(D5&lt;=0,0,IF(ISNUMBER(INDEX(Prices!$L$5:$L$82,MATCH(C5,Prices!$A$5:$A$82,0))),CEILING(D5/INDEX(Prices!$K$5:$K$82,MATCH(C5,Prices!$A$5:$A$82,0)),1)*INDEX(Prices!$L$5:$L$82,MATCH(C5,Prices!$A$5:$A$82,0)),J5))</f>
        <v>57.93102</v>
      </c>
      <c r="L5" s="21"/>
      <c r="M5" s="27" t="str">
        <f aca="false">IFERROR(IF(INDEX(Prices!$O$5:$O$82,MATCH(C5,Prices!$A$5:$A$82,0))="","",HYPERLINK(INDEX(Prices!$O$5:$O$82,MATCH(C5,Prices!$A$5:$A$82,0)),INDEX(Prices!$D$5:$D$82,MATCH(C5,Prices!$A$5:$A$82,0)))),"")</f>
        <v>BC Robotics</v>
      </c>
    </row>
    <row r="6" customFormat="false" ht="15" hidden="false" customHeight="false" outlineLevel="0" collapsed="false">
      <c r="A6" s="20" t="s">
        <v>495</v>
      </c>
      <c r="B6" s="21" t="s">
        <v>591</v>
      </c>
      <c r="C6" s="29" t="s">
        <v>323</v>
      </c>
      <c r="D6" s="22" t="n">
        <v>2</v>
      </c>
      <c r="E6" s="30" t="n">
        <f aca="false">INDEX(Prices!$I$5:$I$82,MATCH(C6,Prices!$A$5:$A$82,0))</f>
        <v>6.95</v>
      </c>
      <c r="F6" s="24" t="n">
        <f aca="false">D6*E6</f>
        <v>13.9</v>
      </c>
      <c r="G6" s="29" t="n">
        <f aca="false">INDEX(Prices!$E$5:$E$82,MATCH(C6,Prices!$A$5:$A$82,0))</f>
        <v>1</v>
      </c>
      <c r="H6" s="20" t="n">
        <f aca="false">IF(D6&lt;=0,0,CEILING(D6/G6,1))</f>
        <v>2</v>
      </c>
      <c r="I6" s="30" t="n">
        <f aca="false">INDEX(Prices!$H$5:$H$82,MATCH(C6,Prices!$A$5:$A$82,0))</f>
        <v>6.95</v>
      </c>
      <c r="J6" s="24" t="n">
        <f aca="false">H6*I6</f>
        <v>13.9</v>
      </c>
      <c r="K6" s="24" t="n">
        <f aca="false">IF(D6&lt;=0,0,IF(ISNUMBER(INDEX(Prices!$L$5:$L$82,MATCH(C6,Prices!$A$5:$A$82,0))),CEILING(D6/INDEX(Prices!$K$5:$K$82,MATCH(C6,Prices!$A$5:$A$82,0)),1)*INDEX(Prices!$L$5:$L$82,MATCH(C6,Prices!$A$5:$A$82,0)),J6))</f>
        <v>13.9</v>
      </c>
      <c r="L6" s="21"/>
      <c r="M6" s="27" t="str">
        <f aca="false">IFERROR(IF(INDEX(Prices!$O$5:$O$82,MATCH(C6,Prices!$A$5:$A$82,0))="","",HYPERLINK(INDEX(Prices!$O$5:$O$82,MATCH(C6,Prices!$A$5:$A$82,0)),INDEX(Prices!$D$5:$D$82,MATCH(C6,Prices!$A$5:$A$82,0)))),"")</f>
        <v>Universal-Solder (CANADUINO)</v>
      </c>
    </row>
    <row r="7" customFormat="false" ht="15" hidden="false" customHeight="false" outlineLevel="0" collapsed="false">
      <c r="A7" s="20" t="s">
        <v>495</v>
      </c>
      <c r="B7" s="21" t="s">
        <v>499</v>
      </c>
      <c r="C7" s="29" t="s">
        <v>140</v>
      </c>
      <c r="D7" s="22" t="n">
        <v>1</v>
      </c>
      <c r="E7" s="30" t="n">
        <f aca="false">INDEX(Prices!$I$5:$I$82,MATCH(C7,Prices!$A$5:$A$82,0))</f>
        <v>9.86</v>
      </c>
      <c r="F7" s="24" t="n">
        <f aca="false">D7*E7</f>
        <v>9.86</v>
      </c>
      <c r="G7" s="29" t="n">
        <f aca="false">INDEX(Prices!$E$5:$E$82,MATCH(C7,Prices!$A$5:$A$82,0))</f>
        <v>1</v>
      </c>
      <c r="H7" s="20" t="n">
        <f aca="false">IF(D7&lt;=0,0,CEILING(D7/G7,1))</f>
        <v>1</v>
      </c>
      <c r="I7" s="30" t="n">
        <f aca="false">INDEX(Prices!$H$5:$H$82,MATCH(C7,Prices!$A$5:$A$82,0))</f>
        <v>9.86</v>
      </c>
      <c r="J7" s="24" t="n">
        <f aca="false">H7*I7</f>
        <v>9.86</v>
      </c>
      <c r="K7" s="24" t="n">
        <f aca="false">IF(D7&lt;=0,0,IF(ISNUMBER(INDEX(Prices!$L$5:$L$82,MATCH(C7,Prices!$A$5:$A$82,0))),CEILING(D7/INDEX(Prices!$K$5:$K$82,MATCH(C7,Prices!$A$5:$A$82,0)),1)*INDEX(Prices!$L$5:$L$82,MATCH(C7,Prices!$A$5:$A$82,0)),J7))</f>
        <v>9.86</v>
      </c>
      <c r="L7" s="21"/>
      <c r="M7" s="27" t="str">
        <f aca="false">IFERROR(IF(INDEX(Prices!$O$5:$O$82,MATCH(C7,Prices!$A$5:$A$82,0))="","",HYPERLINK(INDEX(Prices!$O$5:$O$82,MATCH(C7,Prices!$A$5:$A$82,0)),INDEX(Prices!$D$5:$D$82,MATCH(C7,Prices!$A$5:$A$82,0)))),"")</f>
        <v>Universal-Solder (CANADUINO)</v>
      </c>
    </row>
    <row r="8" customFormat="false" ht="15" hidden="false" customHeight="false" outlineLevel="0" collapsed="false">
      <c r="A8" s="20" t="s">
        <v>502</v>
      </c>
      <c r="B8" s="21" t="s">
        <v>592</v>
      </c>
      <c r="C8" s="29" t="s">
        <v>205</v>
      </c>
      <c r="D8" s="22" t="n">
        <v>1</v>
      </c>
      <c r="E8" s="30" t="n">
        <f aca="false">INDEX(Prices!$I$5:$I$82,MATCH(C8,Prices!$A$5:$A$82,0))</f>
        <v>15.966013</v>
      </c>
      <c r="F8" s="24" t="n">
        <f aca="false">D8*E8</f>
        <v>15.966013</v>
      </c>
      <c r="G8" s="29" t="n">
        <f aca="false">INDEX(Prices!$E$5:$E$82,MATCH(C8,Prices!$A$5:$A$82,0))</f>
        <v>1</v>
      </c>
      <c r="H8" s="20" t="n">
        <f aca="false">IF(D8&lt;=0,0,CEILING(D8/G8,1))</f>
        <v>1</v>
      </c>
      <c r="I8" s="30" t="n">
        <f aca="false">INDEX(Prices!$H$5:$H$82,MATCH(C8,Prices!$A$5:$A$82,0))</f>
        <v>15.966013</v>
      </c>
      <c r="J8" s="24" t="n">
        <f aca="false">H8*I8</f>
        <v>15.966013</v>
      </c>
      <c r="K8" s="24" t="n">
        <f aca="false">IF(D8&lt;=0,0,IF(ISNUMBER(INDEX(Prices!$L$5:$L$82,MATCH(C8,Prices!$A$5:$A$82,0))),CEILING(D8/INDEX(Prices!$K$5:$K$82,MATCH(C8,Prices!$A$5:$A$82,0)),1)*INDEX(Prices!$L$5:$L$82,MATCH(C8,Prices!$A$5:$A$82,0)),J8))</f>
        <v>15.966013</v>
      </c>
      <c r="L8" s="21"/>
      <c r="M8" s="27" t="str">
        <f aca="false">IFERROR(IF(INDEX(Prices!$O$5:$O$82,MATCH(C8,Prices!$A$5:$A$82,0))="","",HYPERLINK(INDEX(Prices!$O$5:$O$82,MATCH(C8,Prices!$A$5:$A$82,0)),INDEX(Prices!$D$5:$D$82,MATCH(C8,Prices!$A$5:$A$82,0)))),"")</f>
        <v>Rotor Village</v>
      </c>
    </row>
    <row r="9" customFormat="false" ht="15" hidden="false" customHeight="false" outlineLevel="0" collapsed="false">
      <c r="A9" s="20" t="s">
        <v>502</v>
      </c>
      <c r="B9" s="21" t="s">
        <v>593</v>
      </c>
      <c r="C9" s="29" t="s">
        <v>436</v>
      </c>
      <c r="D9" s="22" t="n">
        <v>1</v>
      </c>
      <c r="E9" s="30" t="n">
        <f aca="false">INDEX(Prices!$I$5:$I$82,MATCH(C9,Prices!$A$5:$A$82,0))</f>
        <v>34.968507</v>
      </c>
      <c r="F9" s="24" t="n">
        <f aca="false">D9*E9</f>
        <v>34.968507</v>
      </c>
      <c r="G9" s="29" t="n">
        <f aca="false">INDEX(Prices!$E$5:$E$82,MATCH(C9,Prices!$A$5:$A$82,0))</f>
        <v>1</v>
      </c>
      <c r="H9" s="20" t="n">
        <f aca="false">IF(D9&lt;=0,0,CEILING(D9/G9,1))</f>
        <v>1</v>
      </c>
      <c r="I9" s="30" t="n">
        <f aca="false">INDEX(Prices!$H$5:$H$82,MATCH(C9,Prices!$A$5:$A$82,0))</f>
        <v>34.968507</v>
      </c>
      <c r="J9" s="24" t="n">
        <f aca="false">H9*I9</f>
        <v>34.968507</v>
      </c>
      <c r="K9" s="24" t="n">
        <f aca="false">IF(D9&lt;=0,0,IF(ISNUMBER(INDEX(Prices!$L$5:$L$82,MATCH(C9,Prices!$A$5:$A$82,0))),CEILING(D9/INDEX(Prices!$K$5:$K$82,MATCH(C9,Prices!$A$5:$A$82,0)),1)*INDEX(Prices!$L$5:$L$82,MATCH(C9,Prices!$A$5:$A$82,0)),J9))</f>
        <v>34.968507</v>
      </c>
      <c r="L9" s="21"/>
      <c r="M9" s="27" t="str">
        <f aca="false">IFERROR(IF(INDEX(Prices!$O$5:$O$82,MATCH(C9,Prices!$A$5:$A$82,0))="","",HYPERLINK(INDEX(Prices!$O$5:$O$82,MATCH(C9,Prices!$A$5:$A$82,0)),INDEX(Prices!$D$5:$D$82,MATCH(C9,Prices!$A$5:$A$82,0)))),"")</f>
        <v>Hobbywing North America (hobbywingdirect.com)</v>
      </c>
    </row>
    <row r="10" customFormat="false" ht="15" hidden="false" customHeight="false" outlineLevel="0" collapsed="false">
      <c r="A10" s="20" t="s">
        <v>502</v>
      </c>
      <c r="B10" s="21" t="s">
        <v>563</v>
      </c>
      <c r="C10" s="29" t="s">
        <v>312</v>
      </c>
      <c r="D10" s="22" t="n">
        <v>1</v>
      </c>
      <c r="E10" s="30" t="n">
        <f aca="false">INDEX(Prices!$I$5:$I$82,MATCH(C10,Prices!$A$5:$A$82,0))</f>
        <v>1.665167</v>
      </c>
      <c r="F10" s="24" t="n">
        <f aca="false">D10*E10</f>
        <v>1.665167</v>
      </c>
      <c r="G10" s="29" t="n">
        <f aca="false">INDEX(Prices!$E$5:$E$82,MATCH(C10,Prices!$A$5:$A$82,0))</f>
        <v>5</v>
      </c>
      <c r="H10" s="20" t="n">
        <f aca="false">IF(D10&lt;=0,0,CEILING(D10/G10,1))</f>
        <v>1</v>
      </c>
      <c r="I10" s="30" t="n">
        <f aca="false">INDEX(Prices!$H$5:$H$82,MATCH(C10,Prices!$A$5:$A$82,0))</f>
        <v>8.325835</v>
      </c>
      <c r="J10" s="24" t="n">
        <f aca="false">H10*I10</f>
        <v>8.325835</v>
      </c>
      <c r="K10" s="24" t="n">
        <f aca="false">IF(D10&lt;=0,0,IF(ISNUMBER(INDEX(Prices!$L$5:$L$82,MATCH(C10,Prices!$A$5:$A$82,0))),CEILING(D10/INDEX(Prices!$K$5:$K$82,MATCH(C10,Prices!$A$5:$A$82,0)),1)*INDEX(Prices!$L$5:$L$82,MATCH(C10,Prices!$A$5:$A$82,0)),J10))</f>
        <v>8.325835</v>
      </c>
      <c r="L10" s="21"/>
      <c r="M10" s="27" t="str">
        <f aca="false">IFERROR(IF(INDEX(Prices!$O$5:$O$82,MATCH(C10,Prices!$A$5:$A$82,0))="","",HYPERLINK(INDEX(Prices!$O$5:$O$82,MATCH(C10,Prices!$A$5:$A$82,0)),INDEX(Prices!$D$5:$D$82,MATCH(C10,Prices!$A$5:$A$82,0)))),"")</f>
        <v>AliExpress (budget)</v>
      </c>
    </row>
    <row r="11" customFormat="false" ht="15" hidden="false" customHeight="false" outlineLevel="0" collapsed="false">
      <c r="A11" s="20" t="s">
        <v>502</v>
      </c>
      <c r="B11" s="21" t="s">
        <v>594</v>
      </c>
      <c r="C11" s="29" t="s">
        <v>402</v>
      </c>
      <c r="D11" s="22" t="n">
        <v>1</v>
      </c>
      <c r="E11" s="30" t="n">
        <f aca="false">INDEX(Prices!$I$5:$I$82,MATCH(C11,Prices!$A$5:$A$82,0))</f>
        <v>3.99</v>
      </c>
      <c r="F11" s="24" t="n">
        <f aca="false">D11*E11</f>
        <v>3.99</v>
      </c>
      <c r="G11" s="29" t="n">
        <f aca="false">INDEX(Prices!$E$5:$E$82,MATCH(C11,Prices!$A$5:$A$82,0))</f>
        <v>1</v>
      </c>
      <c r="H11" s="20" t="n">
        <f aca="false">IF(D11&lt;=0,0,CEILING(D11/G11,1))</f>
        <v>1</v>
      </c>
      <c r="I11" s="30" t="n">
        <f aca="false">INDEX(Prices!$H$5:$H$82,MATCH(C11,Prices!$A$5:$A$82,0))</f>
        <v>3.99</v>
      </c>
      <c r="J11" s="24" t="n">
        <f aca="false">H11*I11</f>
        <v>3.99</v>
      </c>
      <c r="K11" s="24" t="n">
        <f aca="false">IF(D11&lt;=0,0,IF(ISNUMBER(INDEX(Prices!$L$5:$L$82,MATCH(C11,Prices!$A$5:$A$82,0))),CEILING(D11/INDEX(Prices!$K$5:$K$82,MATCH(C11,Prices!$A$5:$A$82,0)),1)*INDEX(Prices!$L$5:$L$82,MATCH(C11,Prices!$A$5:$A$82,0)),J11))</f>
        <v>3.99</v>
      </c>
      <c r="L11" s="21"/>
      <c r="M11" s="27" t="str">
        <f aca="false">IFERROR(IF(INDEX(Prices!$O$5:$O$82,MATCH(C11,Prices!$A$5:$A$82,0))="","",HYPERLINK(INDEX(Prices!$O$5:$O$82,MATCH(C11,Prices!$A$5:$A$82,0)),INDEX(Prices!$D$5:$D$82,MATCH(C11,Prices!$A$5:$A$82,0)))),"")</f>
        <v>Canada Robotix</v>
      </c>
    </row>
    <row r="12" customFormat="false" ht="15" hidden="false" customHeight="false" outlineLevel="0" collapsed="false">
      <c r="A12" s="20" t="s">
        <v>502</v>
      </c>
      <c r="B12" s="21" t="s">
        <v>595</v>
      </c>
      <c r="C12" s="29" t="s">
        <v>152</v>
      </c>
      <c r="D12" s="22" t="n">
        <v>1</v>
      </c>
      <c r="E12" s="30" t="n">
        <f aca="false">INDEX(Prices!$I$5:$I$82,MATCH(C12,Prices!$A$5:$A$82,0))</f>
        <v>6.945</v>
      </c>
      <c r="F12" s="24" t="n">
        <f aca="false">D12*E12</f>
        <v>6.945</v>
      </c>
      <c r="G12" s="29" t="n">
        <f aca="false">INDEX(Prices!$E$5:$E$82,MATCH(C12,Prices!$A$5:$A$82,0))</f>
        <v>2</v>
      </c>
      <c r="H12" s="20" t="n">
        <f aca="false">IF(D12&lt;=0,0,CEILING(D12/G12,1))</f>
        <v>1</v>
      </c>
      <c r="I12" s="30" t="n">
        <f aca="false">INDEX(Prices!$H$5:$H$82,MATCH(C12,Prices!$A$5:$A$82,0))</f>
        <v>13.89</v>
      </c>
      <c r="J12" s="24" t="n">
        <f aca="false">H12*I12</f>
        <v>13.89</v>
      </c>
      <c r="K12" s="24" t="n">
        <f aca="false">IF(D12&lt;=0,0,IF(ISNUMBER(INDEX(Prices!$L$5:$L$82,MATCH(C12,Prices!$A$5:$A$82,0))),CEILING(D12/INDEX(Prices!$K$5:$K$82,MATCH(C12,Prices!$A$5:$A$82,0)),1)*INDEX(Prices!$L$5:$L$82,MATCH(C12,Prices!$A$5:$A$82,0)),J12))</f>
        <v>13.89</v>
      </c>
      <c r="L12" s="21"/>
      <c r="M12" s="27" t="str">
        <f aca="false">IFERROR(IF(INDEX(Prices!$O$5:$O$82,MATCH(C12,Prices!$A$5:$A$82,0))="","",HYPERLINK(INDEX(Prices!$O$5:$O$82,MATCH(C12,Prices!$A$5:$A$82,0)),INDEX(Prices!$D$5:$D$82,MATCH(C12,Prices!$A$5:$A$82,0)))),"")</f>
        <v>BC Robotics + Partsource</v>
      </c>
    </row>
    <row r="13" customFormat="false" ht="23.85" hidden="false" customHeight="false" outlineLevel="0" collapsed="false">
      <c r="A13" s="20" t="s">
        <v>502</v>
      </c>
      <c r="B13" s="21" t="s">
        <v>596</v>
      </c>
      <c r="C13" s="29" t="s">
        <v>474</v>
      </c>
      <c r="D13" s="22" t="n">
        <v>1</v>
      </c>
      <c r="E13" s="30" t="n">
        <f aca="false">INDEX(Prices!$I$5:$I$82,MATCH(C13,Prices!$A$5:$A$82,0))</f>
        <v>2.770614</v>
      </c>
      <c r="F13" s="24" t="n">
        <f aca="false">D13*E13</f>
        <v>2.770614</v>
      </c>
      <c r="G13" s="29" t="n">
        <f aca="false">INDEX(Prices!$E$5:$E$82,MATCH(C13,Prices!$A$5:$A$82,0))</f>
        <v>1</v>
      </c>
      <c r="H13" s="20" t="n">
        <f aca="false">IF(D13&lt;=0,0,CEILING(D13/G13,1))</f>
        <v>1</v>
      </c>
      <c r="I13" s="30" t="n">
        <f aca="false">INDEX(Prices!$H$5:$H$82,MATCH(C13,Prices!$A$5:$A$82,0))</f>
        <v>2.770614</v>
      </c>
      <c r="J13" s="24" t="n">
        <f aca="false">H13*I13</f>
        <v>2.770614</v>
      </c>
      <c r="K13" s="24" t="n">
        <f aca="false">IF(D13&lt;=0,0,IF(ISNUMBER(INDEX(Prices!$L$5:$L$82,MATCH(C13,Prices!$A$5:$A$82,0))),CEILING(D13/INDEX(Prices!$K$5:$K$82,MATCH(C13,Prices!$A$5:$A$82,0)),1)*INDEX(Prices!$L$5:$L$82,MATCH(C13,Prices!$A$5:$A$82,0)),J13))</f>
        <v>2.770614</v>
      </c>
      <c r="L13" s="21" t="s">
        <v>597</v>
      </c>
      <c r="M13" s="27" t="str">
        <f aca="false">IFERROR(IF(INDEX(Prices!$O$5:$O$82,MATCH(C13,Prices!$A$5:$A$82,0))="","",HYPERLINK(INDEX(Prices!$O$5:$O$82,MATCH(C13,Prices!$A$5:$A$82,0)),INDEX(Prices!$D$5:$D$82,MATCH(C13,Prices!$A$5:$A$82,0)))),"")</f>
        <v>Rotor Village</v>
      </c>
    </row>
    <row r="14" customFormat="false" ht="15" hidden="false" customHeight="false" outlineLevel="0" collapsed="false">
      <c r="A14" s="20" t="s">
        <v>502</v>
      </c>
      <c r="B14" s="21" t="s">
        <v>598</v>
      </c>
      <c r="C14" s="29" t="s">
        <v>212</v>
      </c>
      <c r="D14" s="22" t="n">
        <v>1</v>
      </c>
      <c r="E14" s="30" t="n">
        <f aca="false">INDEX(Prices!$I$5:$I$82,MATCH(C14,Prices!$A$5:$A$82,0))</f>
        <v>5.387305</v>
      </c>
      <c r="F14" s="24" t="n">
        <f aca="false">D14*E14</f>
        <v>5.387305</v>
      </c>
      <c r="G14" s="29" t="n">
        <f aca="false">INDEX(Prices!$E$5:$E$82,MATCH(C14,Prices!$A$5:$A$82,0))</f>
        <v>1</v>
      </c>
      <c r="H14" s="20" t="n">
        <f aca="false">IF(D14&lt;=0,0,CEILING(D14/G14,1))</f>
        <v>1</v>
      </c>
      <c r="I14" s="30" t="n">
        <f aca="false">INDEX(Prices!$H$5:$H$82,MATCH(C14,Prices!$A$5:$A$82,0))</f>
        <v>5.387305</v>
      </c>
      <c r="J14" s="24" t="n">
        <f aca="false">H14*I14</f>
        <v>5.387305</v>
      </c>
      <c r="K14" s="24" t="n">
        <f aca="false">IF(D14&lt;=0,0,IF(ISNUMBER(INDEX(Prices!$L$5:$L$82,MATCH(C14,Prices!$A$5:$A$82,0))),CEILING(D14/INDEX(Prices!$K$5:$K$82,MATCH(C14,Prices!$A$5:$A$82,0)),1)*INDEX(Prices!$L$5:$L$82,MATCH(C14,Prices!$A$5:$A$82,0)),J14))</f>
        <v>5.387305</v>
      </c>
      <c r="L14" s="21"/>
      <c r="M14" s="27" t="str">
        <f aca="false">IFERROR(IF(INDEX(Prices!$O$5:$O$82,MATCH(C14,Prices!$A$5:$A$82,0))="","",HYPERLINK(INDEX(Prices!$O$5:$O$82,MATCH(C14,Prices!$A$5:$A$82,0)),INDEX(Prices!$D$5:$D$82,MATCH(C14,Prices!$A$5:$A$82,0)))),"")</f>
        <v>Rotor Village</v>
      </c>
    </row>
    <row r="15" customFormat="false" ht="15" hidden="false" customHeight="false" outlineLevel="0" collapsed="false">
      <c r="A15" s="20" t="s">
        <v>502</v>
      </c>
      <c r="B15" s="21" t="s">
        <v>223</v>
      </c>
      <c r="C15" s="29" t="s">
        <v>222</v>
      </c>
      <c r="D15" s="22" t="n">
        <v>1</v>
      </c>
      <c r="E15" s="30" t="n">
        <f aca="false">INDEX(Prices!$I$5:$I$82,MATCH(C15,Prices!$A$5:$A$82,0))</f>
        <v>28.57</v>
      </c>
      <c r="F15" s="24" t="n">
        <f aca="false">D15*E15</f>
        <v>28.57</v>
      </c>
      <c r="G15" s="29" t="n">
        <f aca="false">INDEX(Prices!$E$5:$E$82,MATCH(C15,Prices!$A$5:$A$82,0))</f>
        <v>1</v>
      </c>
      <c r="H15" s="20" t="n">
        <f aca="false">IF(D15&lt;=0,0,CEILING(D15/G15,1))</f>
        <v>1</v>
      </c>
      <c r="I15" s="30" t="n">
        <f aca="false">INDEX(Prices!$H$5:$H$82,MATCH(C15,Prices!$A$5:$A$82,0))</f>
        <v>28.57</v>
      </c>
      <c r="J15" s="24" t="n">
        <f aca="false">H15*I15</f>
        <v>28.57</v>
      </c>
      <c r="K15" s="24" t="n">
        <f aca="false">IF(D15&lt;=0,0,IF(ISNUMBER(INDEX(Prices!$L$5:$L$82,MATCH(C15,Prices!$A$5:$A$82,0))),CEILING(D15/INDEX(Prices!$K$5:$K$82,MATCH(C15,Prices!$A$5:$A$82,0)),1)*INDEX(Prices!$L$5:$L$82,MATCH(C15,Prices!$A$5:$A$82,0)),J15))</f>
        <v>28.57</v>
      </c>
      <c r="L15" s="21"/>
      <c r="M15" s="27" t="str">
        <f aca="false">IFERROR(IF(INDEX(Prices!$O$5:$O$82,MATCH(C15,Prices!$A$5:$A$82,0))="","",HYPERLINK(INDEX(Prices!$O$5:$O$82,MATCH(C15,Prices!$A$5:$A$82,0)),INDEX(Prices!$D$5:$D$82,MATCH(C15,Prices!$A$5:$A$82,0)))),"")</f>
        <v>RobotShop CA</v>
      </c>
    </row>
    <row r="16" customFormat="false" ht="15" hidden="false" customHeight="false" outlineLevel="0" collapsed="false">
      <c r="A16" s="20" t="s">
        <v>502</v>
      </c>
      <c r="B16" s="21" t="s">
        <v>599</v>
      </c>
      <c r="C16" s="29" t="s">
        <v>217</v>
      </c>
      <c r="D16" s="22" t="n">
        <v>1</v>
      </c>
      <c r="E16" s="30" t="n">
        <f aca="false">INDEX(Prices!$I$5:$I$82,MATCH(C16,Prices!$A$5:$A$82,0))</f>
        <v>14.97251</v>
      </c>
      <c r="F16" s="24" t="n">
        <f aca="false">D16*E16</f>
        <v>14.97251</v>
      </c>
      <c r="G16" s="29" t="n">
        <f aca="false">INDEX(Prices!$E$5:$E$82,MATCH(C16,Prices!$A$5:$A$82,0))</f>
        <v>1</v>
      </c>
      <c r="H16" s="20" t="n">
        <f aca="false">IF(D16&lt;=0,0,CEILING(D16/G16,1))</f>
        <v>1</v>
      </c>
      <c r="I16" s="30" t="n">
        <f aca="false">INDEX(Prices!$H$5:$H$82,MATCH(C16,Prices!$A$5:$A$82,0))</f>
        <v>14.97251</v>
      </c>
      <c r="J16" s="24" t="n">
        <f aca="false">H16*I16</f>
        <v>14.97251</v>
      </c>
      <c r="K16" s="24" t="n">
        <f aca="false">IF(D16&lt;=0,0,IF(ISNUMBER(INDEX(Prices!$L$5:$L$82,MATCH(C16,Prices!$A$5:$A$82,0))),CEILING(D16/INDEX(Prices!$K$5:$K$82,MATCH(C16,Prices!$A$5:$A$82,0)),1)*INDEX(Prices!$L$5:$L$82,MATCH(C16,Prices!$A$5:$A$82,0)),J16))</f>
        <v>14.97251</v>
      </c>
      <c r="L16" s="21"/>
      <c r="M16" s="27" t="str">
        <f aca="false">IFERROR(IF(INDEX(Prices!$O$5:$O$82,MATCH(C16,Prices!$A$5:$A$82,0))="","",HYPERLINK(INDEX(Prices!$O$5:$O$82,MATCH(C16,Prices!$A$5:$A$82,0)),INDEX(Prices!$D$5:$D$82,MATCH(C16,Prices!$A$5:$A$82,0)))),"")</f>
        <v>Rotor Village</v>
      </c>
    </row>
    <row r="17" customFormat="false" ht="15" hidden="false" customHeight="false" outlineLevel="0" collapsed="false">
      <c r="A17" s="20" t="s">
        <v>502</v>
      </c>
      <c r="B17" s="21" t="s">
        <v>600</v>
      </c>
      <c r="C17" s="29" t="s">
        <v>66</v>
      </c>
      <c r="D17" s="22" t="n">
        <v>2</v>
      </c>
      <c r="E17" s="30" t="n">
        <f aca="false">INDEX(Prices!$I$5:$I$82,MATCH(C17,Prices!$A$5:$A$82,0))</f>
        <v>0.71</v>
      </c>
      <c r="F17" s="24" t="n">
        <f aca="false">D17*E17</f>
        <v>1.42</v>
      </c>
      <c r="G17" s="29" t="n">
        <f aca="false">INDEX(Prices!$E$5:$E$82,MATCH(C17,Prices!$A$5:$A$82,0))</f>
        <v>1</v>
      </c>
      <c r="H17" s="20" t="n">
        <f aca="false">IF(D17&lt;=0,0,CEILING(D17/G17,1))</f>
        <v>2</v>
      </c>
      <c r="I17" s="30" t="n">
        <f aca="false">INDEX(Prices!$H$5:$H$82,MATCH(C17,Prices!$A$5:$A$82,0))</f>
        <v>0.71</v>
      </c>
      <c r="J17" s="24" t="n">
        <f aca="false">H17*I17</f>
        <v>1.42</v>
      </c>
      <c r="K17" s="24" t="n">
        <f aca="false">IF(D17&lt;=0,0,IF(ISNUMBER(INDEX(Prices!$L$5:$L$82,MATCH(C17,Prices!$A$5:$A$82,0))),CEILING(D17/INDEX(Prices!$K$5:$K$82,MATCH(C17,Prices!$A$5:$A$82,0)),1)*INDEX(Prices!$L$5:$L$82,MATCH(C17,Prices!$A$5:$A$82,0)),J17))</f>
        <v>1.42</v>
      </c>
      <c r="L17" s="21"/>
      <c r="M17" s="27" t="str">
        <f aca="false">IFERROR(IF(INDEX(Prices!$O$5:$O$82,MATCH(C17,Prices!$A$5:$A$82,0))="","",HYPERLINK(INDEX(Prices!$O$5:$O$82,MATCH(C17,Prices!$A$5:$A$82,0)),INDEX(Prices!$D$5:$D$82,MATCH(C17,Prices!$A$5:$A$82,0)))),"")</f>
        <v>RobotShop (Canada)</v>
      </c>
    </row>
    <row r="18" customFormat="false" ht="15" hidden="false" customHeight="false" outlineLevel="0" collapsed="false">
      <c r="A18" s="20" t="s">
        <v>502</v>
      </c>
      <c r="B18" s="21" t="s">
        <v>601</v>
      </c>
      <c r="C18" s="29" t="s">
        <v>85</v>
      </c>
      <c r="D18" s="22" t="n">
        <v>1</v>
      </c>
      <c r="E18" s="30" t="n">
        <f aca="false">INDEX(Prices!$I$5:$I$82,MATCH(C18,Prices!$A$5:$A$82,0))</f>
        <v>0.398</v>
      </c>
      <c r="F18" s="24" t="n">
        <f aca="false">D18*E18</f>
        <v>0.398</v>
      </c>
      <c r="G18" s="29" t="n">
        <f aca="false">INDEX(Prices!$E$5:$E$82,MATCH(C18,Prices!$A$5:$A$82,0))</f>
        <v>5</v>
      </c>
      <c r="H18" s="20" t="n">
        <f aca="false">IF(D18&lt;=0,0,CEILING(D18/G18,1))</f>
        <v>1</v>
      </c>
      <c r="I18" s="30" t="n">
        <f aca="false">INDEX(Prices!$H$5:$H$82,MATCH(C18,Prices!$A$5:$A$82,0))</f>
        <v>1.99</v>
      </c>
      <c r="J18" s="24" t="n">
        <f aca="false">H18*I18</f>
        <v>1.99</v>
      </c>
      <c r="K18" s="24" t="n">
        <f aca="false">IF(D18&lt;=0,0,IF(ISNUMBER(INDEX(Prices!$L$5:$L$82,MATCH(C18,Prices!$A$5:$A$82,0))),CEILING(D18/INDEX(Prices!$K$5:$K$82,MATCH(C18,Prices!$A$5:$A$82,0)),1)*INDEX(Prices!$L$5:$L$82,MATCH(C18,Prices!$A$5:$A$82,0)),J18))</f>
        <v>1.99</v>
      </c>
      <c r="L18" s="21"/>
      <c r="M18" s="27" t="str">
        <f aca="false">IFERROR(IF(INDEX(Prices!$O$5:$O$82,MATCH(C18,Prices!$A$5:$A$82,0))="","",HYPERLINK(INDEX(Prices!$O$5:$O$82,MATCH(C18,Prices!$A$5:$A$82,0)),INDEX(Prices!$D$5:$D$82,MATCH(C18,Prices!$A$5:$A$82,0)))),"")</f>
        <v>Canada Robotix</v>
      </c>
    </row>
    <row r="19" customFormat="false" ht="15" hidden="false" customHeight="false" outlineLevel="0" collapsed="false">
      <c r="A19" s="20" t="s">
        <v>502</v>
      </c>
      <c r="B19" s="21" t="s">
        <v>602</v>
      </c>
      <c r="C19" s="29" t="s">
        <v>370</v>
      </c>
      <c r="D19" s="22" t="n">
        <v>1</v>
      </c>
      <c r="E19" s="30" t="n">
        <f aca="false">INDEX(Prices!$I$5:$I$82,MATCH(C19,Prices!$A$5:$A$82,0))</f>
        <v>0.398</v>
      </c>
      <c r="F19" s="24" t="n">
        <f aca="false">D19*E19</f>
        <v>0.398</v>
      </c>
      <c r="G19" s="29" t="n">
        <f aca="false">INDEX(Prices!$E$5:$E$82,MATCH(C19,Prices!$A$5:$A$82,0))</f>
        <v>5</v>
      </c>
      <c r="H19" s="20" t="n">
        <f aca="false">IF(D19&lt;=0,0,CEILING(D19/G19,1))</f>
        <v>1</v>
      </c>
      <c r="I19" s="30" t="n">
        <f aca="false">INDEX(Prices!$H$5:$H$82,MATCH(C19,Prices!$A$5:$A$82,0))</f>
        <v>1.99</v>
      </c>
      <c r="J19" s="24" t="n">
        <f aca="false">H19*I19</f>
        <v>1.99</v>
      </c>
      <c r="K19" s="24" t="n">
        <f aca="false">IF(D19&lt;=0,0,IF(ISNUMBER(INDEX(Prices!$L$5:$L$82,MATCH(C19,Prices!$A$5:$A$82,0))),CEILING(D19/INDEX(Prices!$K$5:$K$82,MATCH(C19,Prices!$A$5:$A$82,0)),1)*INDEX(Prices!$L$5:$L$82,MATCH(C19,Prices!$A$5:$A$82,0)),J19))</f>
        <v>1.99</v>
      </c>
      <c r="L19" s="21"/>
      <c r="M19" s="27" t="str">
        <f aca="false">IFERROR(IF(INDEX(Prices!$O$5:$O$82,MATCH(C19,Prices!$A$5:$A$82,0))="","",HYPERLINK(INDEX(Prices!$O$5:$O$82,MATCH(C19,Prices!$A$5:$A$82,0)),INDEX(Prices!$D$5:$D$82,MATCH(C19,Prices!$A$5:$A$82,0)))),"")</f>
        <v>Canada Robotix</v>
      </c>
    </row>
    <row r="20" customFormat="false" ht="15" hidden="false" customHeight="false" outlineLevel="0" collapsed="false">
      <c r="A20" s="20" t="s">
        <v>514</v>
      </c>
      <c r="B20" s="21" t="s">
        <v>603</v>
      </c>
      <c r="C20" s="29" t="s">
        <v>360</v>
      </c>
      <c r="D20" s="22" t="n">
        <v>0.05</v>
      </c>
      <c r="E20" s="30" t="n">
        <f aca="false">INDEX(Prices!$I$5:$I$82,MATCH(C20,Prices!$A$5:$A$82,0))</f>
        <v>12.95</v>
      </c>
      <c r="F20" s="24" t="n">
        <f aca="false">D20*E20</f>
        <v>0.6475</v>
      </c>
      <c r="G20" s="29" t="n">
        <f aca="false">INDEX(Prices!$E$5:$E$82,MATCH(C20,Prices!$A$5:$A$82,0))</f>
        <v>1</v>
      </c>
      <c r="H20" s="20" t="n">
        <f aca="false">IF(D20&lt;=0,0,CEILING(D20/G20,1))</f>
        <v>1</v>
      </c>
      <c r="I20" s="30" t="n">
        <f aca="false">INDEX(Prices!$H$5:$H$82,MATCH(C20,Prices!$A$5:$A$82,0))</f>
        <v>12.95</v>
      </c>
      <c r="J20" s="24" t="n">
        <f aca="false">H20*I20</f>
        <v>12.95</v>
      </c>
      <c r="K20" s="24" t="n">
        <f aca="false">IF(D20&lt;=0,0,IF(ISNUMBER(INDEX(Prices!$L$5:$L$82,MATCH(C20,Prices!$A$5:$A$82,0))),CEILING(D20/INDEX(Prices!$K$5:$K$82,MATCH(C20,Prices!$A$5:$A$82,0)),1)*INDEX(Prices!$L$5:$L$82,MATCH(C20,Prices!$A$5:$A$82,0)),J20))</f>
        <v>12.95</v>
      </c>
      <c r="L20" s="21" t="s">
        <v>520</v>
      </c>
      <c r="M20" s="27" t="str">
        <f aca="false">IFERROR(IF(INDEX(Prices!$O$5:$O$82,MATCH(C20,Prices!$A$5:$A$82,0))="","",HYPERLINK(INDEX(Prices!$O$5:$O$82,MATCH(C20,Prices!$A$5:$A$82,0)),INDEX(Prices!$D$5:$D$82,MATCH(C20,Prices!$A$5:$A$82,0)))),"")</f>
        <v>BC Robotics</v>
      </c>
    </row>
    <row r="21" customFormat="false" ht="15" hidden="false" customHeight="false" outlineLevel="0" collapsed="false">
      <c r="A21" s="20" t="s">
        <v>514</v>
      </c>
      <c r="B21" s="21" t="s">
        <v>569</v>
      </c>
      <c r="C21" s="29" t="s">
        <v>355</v>
      </c>
      <c r="D21" s="22" t="n">
        <v>1</v>
      </c>
      <c r="E21" s="30" t="n">
        <f aca="false">INDEX(Prices!$I$5:$I$82,MATCH(C21,Prices!$A$5:$A$82,0))</f>
        <v>0.1</v>
      </c>
      <c r="F21" s="24" t="n">
        <f aca="false">D21*E21</f>
        <v>0.1</v>
      </c>
      <c r="G21" s="29" t="n">
        <f aca="false">INDEX(Prices!$E$5:$E$82,MATCH(C21,Prices!$A$5:$A$82,0))</f>
        <v>10</v>
      </c>
      <c r="H21" s="20" t="n">
        <f aca="false">IF(D21&lt;=0,0,CEILING(D21/G21,1))</f>
        <v>1</v>
      </c>
      <c r="I21" s="30" t="n">
        <f aca="false">INDEX(Prices!$H$5:$H$82,MATCH(C21,Prices!$A$5:$A$82,0))</f>
        <v>1</v>
      </c>
      <c r="J21" s="24" t="n">
        <f aca="false">H21*I21</f>
        <v>1</v>
      </c>
      <c r="K21" s="24" t="n">
        <f aca="false">IF(D21&lt;=0,0,IF(ISNUMBER(INDEX(Prices!$L$5:$L$82,MATCH(C21,Prices!$A$5:$A$82,0))),CEILING(D21/INDEX(Prices!$K$5:$K$82,MATCH(C21,Prices!$A$5:$A$82,0)),1)*INDEX(Prices!$L$5:$L$82,MATCH(C21,Prices!$A$5:$A$82,0)),J21))</f>
        <v>1</v>
      </c>
      <c r="L21" s="21"/>
      <c r="M21" s="27" t="str">
        <f aca="false">IFERROR(IF(INDEX(Prices!$O$5:$O$82,MATCH(C21,Prices!$A$5:$A$82,0))="","",HYPERLINK(INDEX(Prices!$O$5:$O$82,MATCH(C21,Prices!$A$5:$A$82,0)),INDEX(Prices!$D$5:$D$82,MATCH(C21,Prices!$A$5:$A$82,0)))),"")</f>
        <v>BC Robotics</v>
      </c>
    </row>
    <row r="22" customFormat="false" ht="15" hidden="false" customHeight="false" outlineLevel="0" collapsed="false">
      <c r="A22" s="20" t="s">
        <v>514</v>
      </c>
      <c r="B22" s="21" t="s">
        <v>381</v>
      </c>
      <c r="C22" s="29" t="s">
        <v>380</v>
      </c>
      <c r="D22" s="22" t="n">
        <v>12</v>
      </c>
      <c r="E22" s="30" t="n">
        <f aca="false">INDEX(Prices!$I$5:$I$82,MATCH(C22,Prices!$A$5:$A$82,0))</f>
        <v>0.86</v>
      </c>
      <c r="F22" s="24" t="n">
        <f aca="false">D22*E22</f>
        <v>10.32</v>
      </c>
      <c r="G22" s="29" t="n">
        <f aca="false">INDEX(Prices!$E$5:$E$82,MATCH(C22,Prices!$A$5:$A$82,0))</f>
        <v>1</v>
      </c>
      <c r="H22" s="20" t="n">
        <f aca="false">IF(D22&lt;=0,0,CEILING(D22/G22,1))</f>
        <v>12</v>
      </c>
      <c r="I22" s="30" t="n">
        <f aca="false">INDEX(Prices!$H$5:$H$82,MATCH(C22,Prices!$A$5:$A$82,0))</f>
        <v>0.86</v>
      </c>
      <c r="J22" s="24" t="n">
        <f aca="false">H22*I22</f>
        <v>10.32</v>
      </c>
      <c r="K22" s="24" t="n">
        <f aca="false">IF(D22&lt;=0,0,IF(ISNUMBER(INDEX(Prices!$L$5:$L$82,MATCH(C22,Prices!$A$5:$A$82,0))),CEILING(D22/INDEX(Prices!$K$5:$K$82,MATCH(C22,Prices!$A$5:$A$82,0)),1)*INDEX(Prices!$L$5:$L$82,MATCH(C22,Prices!$A$5:$A$82,0)),J22))</f>
        <v>10.32</v>
      </c>
      <c r="L22" s="21" t="s">
        <v>604</v>
      </c>
      <c r="M22" s="27" t="str">
        <f aca="false">IFERROR(IF(INDEX(Prices!$O$5:$O$82,MATCH(C22,Prices!$A$5:$A$82,0))="","",HYPERLINK(INDEX(Prices!$O$5:$O$82,MATCH(C22,Prices!$A$5:$A$82,0)),INDEX(Prices!$D$5:$D$82,MATCH(C22,Prices!$A$5:$A$82,0)))),"")</f>
        <v>RobotShop (Canada)</v>
      </c>
    </row>
    <row r="23" customFormat="false" ht="15" hidden="false" customHeight="false" outlineLevel="0" collapsed="false">
      <c r="A23" s="20" t="s">
        <v>514</v>
      </c>
      <c r="B23" s="21" t="s">
        <v>571</v>
      </c>
      <c r="C23" s="29" t="s">
        <v>190</v>
      </c>
      <c r="D23" s="22" t="n">
        <v>10</v>
      </c>
      <c r="E23" s="30" t="n">
        <f aca="false">INDEX(Prices!$I$5:$I$82,MATCH(C23,Prices!$A$5:$A$82,0))</f>
        <v>0.1425</v>
      </c>
      <c r="F23" s="24" t="n">
        <f aca="false">D23*E23</f>
        <v>1.425</v>
      </c>
      <c r="G23" s="29" t="n">
        <f aca="false">INDEX(Prices!$E$5:$E$82,MATCH(C23,Prices!$A$5:$A$82,0))</f>
        <v>40</v>
      </c>
      <c r="H23" s="20" t="n">
        <f aca="false">IF(D23&lt;=0,0,CEILING(D23/G23,1))</f>
        <v>1</v>
      </c>
      <c r="I23" s="30" t="n">
        <f aca="false">INDEX(Prices!$H$5:$H$82,MATCH(C23,Prices!$A$5:$A$82,0))</f>
        <v>5.7</v>
      </c>
      <c r="J23" s="24" t="n">
        <f aca="false">H23*I23</f>
        <v>5.7</v>
      </c>
      <c r="K23" s="24" t="n">
        <f aca="false">IF(D23&lt;=0,0,IF(ISNUMBER(INDEX(Prices!$L$5:$L$82,MATCH(C23,Prices!$A$5:$A$82,0))),CEILING(D23/INDEX(Prices!$K$5:$K$82,MATCH(C23,Prices!$A$5:$A$82,0)),1)*INDEX(Prices!$L$5:$L$82,MATCH(C23,Prices!$A$5:$A$82,0)),J23))</f>
        <v>5.7</v>
      </c>
      <c r="L23" s="21"/>
      <c r="M23" s="27" t="str">
        <f aca="false">IFERROR(IF(INDEX(Prices!$O$5:$O$82,MATCH(C23,Prices!$A$5:$A$82,0))="","",HYPERLINK(INDEX(Prices!$O$5:$O$82,MATCH(C23,Prices!$A$5:$A$82,0)),INDEX(Prices!$D$5:$D$82,MATCH(C23,Prices!$A$5:$A$82,0)))),"")</f>
        <v>RobotShop (Canada)</v>
      </c>
    </row>
    <row r="24" customFormat="false" ht="15" hidden="false" customHeight="false" outlineLevel="0" collapsed="false">
      <c r="A24" s="20" t="s">
        <v>514</v>
      </c>
      <c r="B24" s="21" t="s">
        <v>572</v>
      </c>
      <c r="C24" s="29" t="s">
        <v>464</v>
      </c>
      <c r="D24" s="22" t="n">
        <v>0.1</v>
      </c>
      <c r="E24" s="30" t="n">
        <f aca="false">INDEX(Prices!$I$5:$I$82,MATCH(C24,Prices!$A$5:$A$82,0))</f>
        <v>19.93</v>
      </c>
      <c r="F24" s="24" t="n">
        <f aca="false">D24*E24</f>
        <v>1.993</v>
      </c>
      <c r="G24" s="29" t="n">
        <f aca="false">INDEX(Prices!$E$5:$E$82,MATCH(C24,Prices!$A$5:$A$82,0))</f>
        <v>1</v>
      </c>
      <c r="H24" s="20" t="n">
        <f aca="false">IF(D24&lt;=0,0,CEILING(D24/G24,1))</f>
        <v>1</v>
      </c>
      <c r="I24" s="30" t="n">
        <f aca="false">INDEX(Prices!$H$5:$H$82,MATCH(C24,Prices!$A$5:$A$82,0))</f>
        <v>19.93</v>
      </c>
      <c r="J24" s="24" t="n">
        <f aca="false">H24*I24</f>
        <v>19.93</v>
      </c>
      <c r="K24" s="24" t="n">
        <f aca="false">IF(D24&lt;=0,0,IF(ISNUMBER(INDEX(Prices!$L$5:$L$82,MATCH(C24,Prices!$A$5:$A$82,0))),CEILING(D24/INDEX(Prices!$K$5:$K$82,MATCH(C24,Prices!$A$5:$A$82,0)),1)*INDEX(Prices!$L$5:$L$82,MATCH(C24,Prices!$A$5:$A$82,0)),J24))</f>
        <v>19.93</v>
      </c>
      <c r="L24" s="21" t="s">
        <v>527</v>
      </c>
      <c r="M24" s="27" t="str">
        <f aca="false">IFERROR(IF(INDEX(Prices!$O$5:$O$82,MATCH(C24,Prices!$A$5:$A$82,0))="","",HYPERLINK(INDEX(Prices!$O$5:$O$82,MATCH(C24,Prices!$A$5:$A$82,0)),INDEX(Prices!$D$5:$D$82,MATCH(C24,Prices!$A$5:$A$82,0)))),"")</f>
        <v>RobotShop (Canada)</v>
      </c>
    </row>
    <row r="25" customFormat="false" ht="15" hidden="false" customHeight="false" outlineLevel="0" collapsed="false">
      <c r="A25" s="20" t="s">
        <v>514</v>
      </c>
      <c r="B25" s="21" t="s">
        <v>605</v>
      </c>
      <c r="C25" s="29" t="s">
        <v>479</v>
      </c>
      <c r="D25" s="22" t="n">
        <v>30</v>
      </c>
      <c r="E25" s="30" t="n">
        <f aca="false">INDEX(Prices!$I$5:$I$82,MATCH(C25,Prices!$A$5:$A$82,0))</f>
        <v>0.0599</v>
      </c>
      <c r="F25" s="24" t="n">
        <f aca="false">D25*E25</f>
        <v>1.797</v>
      </c>
      <c r="G25" s="29" t="n">
        <f aca="false">INDEX(Prices!$E$5:$E$82,MATCH(C25,Prices!$A$5:$A$82,0))</f>
        <v>100</v>
      </c>
      <c r="H25" s="20" t="n">
        <f aca="false">IF(D25&lt;=0,0,CEILING(D25/G25,1))</f>
        <v>1</v>
      </c>
      <c r="I25" s="30" t="n">
        <f aca="false">INDEX(Prices!$H$5:$H$82,MATCH(C25,Prices!$A$5:$A$82,0))</f>
        <v>5.99</v>
      </c>
      <c r="J25" s="24" t="n">
        <f aca="false">H25*I25</f>
        <v>5.99</v>
      </c>
      <c r="K25" s="24" t="n">
        <f aca="false">IF(D25&lt;=0,0,IF(ISNUMBER(INDEX(Prices!$L$5:$L$82,MATCH(C25,Prices!$A$5:$A$82,0))),CEILING(D25/INDEX(Prices!$K$5:$K$82,MATCH(C25,Prices!$A$5:$A$82,0)),1)*INDEX(Prices!$L$5:$L$82,MATCH(C25,Prices!$A$5:$A$82,0)),J25))</f>
        <v>5.99</v>
      </c>
      <c r="L25" s="21"/>
      <c r="M25" s="27" t="str">
        <f aca="false">IFERROR(IF(INDEX(Prices!$O$5:$O$82,MATCH(C25,Prices!$A$5:$A$82,0))="","",HYPERLINK(INDEX(Prices!$O$5:$O$82,MATCH(C25,Prices!$A$5:$A$82,0)),INDEX(Prices!$D$5:$D$82,MATCH(C25,Prices!$A$5:$A$82,0)))),"")</f>
        <v>Princess Auto</v>
      </c>
    </row>
    <row r="26" customFormat="false" ht="15" hidden="false" customHeight="false" outlineLevel="0" collapsed="false">
      <c r="A26" s="20" t="s">
        <v>514</v>
      </c>
      <c r="B26" s="21" t="s">
        <v>455</v>
      </c>
      <c r="C26" s="29" t="s">
        <v>454</v>
      </c>
      <c r="D26" s="22" t="n">
        <v>1</v>
      </c>
      <c r="E26" s="30" t="n">
        <f aca="false">INDEX(Prices!$I$5:$I$82,MATCH(C26,Prices!$A$5:$A$82,0))</f>
        <v>4.491753</v>
      </c>
      <c r="F26" s="24" t="n">
        <f aca="false">D26*E26</f>
        <v>4.491753</v>
      </c>
      <c r="G26" s="29" t="n">
        <f aca="false">INDEX(Prices!$E$5:$E$82,MATCH(C26,Prices!$A$5:$A$82,0))</f>
        <v>2</v>
      </c>
      <c r="H26" s="20" t="n">
        <f aca="false">IF(D26&lt;=0,0,CEILING(D26/G26,1))</f>
        <v>1</v>
      </c>
      <c r="I26" s="30" t="n">
        <f aca="false">INDEX(Prices!$H$5:$H$82,MATCH(C26,Prices!$A$5:$A$82,0))</f>
        <v>8.983506</v>
      </c>
      <c r="J26" s="24" t="n">
        <f aca="false">H26*I26</f>
        <v>8.983506</v>
      </c>
      <c r="K26" s="24" t="n">
        <f aca="false">IF(D26&lt;=0,0,IF(ISNUMBER(INDEX(Prices!$L$5:$L$82,MATCH(C26,Prices!$A$5:$A$82,0))),CEILING(D26/INDEX(Prices!$K$5:$K$82,MATCH(C26,Prices!$A$5:$A$82,0)),1)*INDEX(Prices!$L$5:$L$82,MATCH(C26,Prices!$A$5:$A$82,0)),J26))</f>
        <v>8.983506</v>
      </c>
      <c r="L26" s="21"/>
      <c r="M26" s="27" t="str">
        <f aca="false">IFERROR(IF(INDEX(Prices!$O$5:$O$82,MATCH(C26,Prices!$A$5:$A$82,0))="","",HYPERLINK(INDEX(Prices!$O$5:$O$82,MATCH(C26,Prices!$A$5:$A$82,0)),INDEX(Prices!$D$5:$D$82,MATCH(C26,Prices!$A$5:$A$82,0)))),"")</f>
        <v>Rotor Village</v>
      </c>
    </row>
    <row r="27" customFormat="false" ht="15" hidden="false" customHeight="false" outlineLevel="0" collapsed="false">
      <c r="A27" s="20" t="s">
        <v>514</v>
      </c>
      <c r="B27" s="21" t="s">
        <v>526</v>
      </c>
      <c r="C27" s="29" t="s">
        <v>169</v>
      </c>
      <c r="D27" s="22" t="n">
        <v>0.1</v>
      </c>
      <c r="E27" s="30" t="n">
        <f aca="false">INDEX(Prices!$I$5:$I$82,MATCH(C27,Prices!$A$5:$A$82,0))</f>
        <v>12.84</v>
      </c>
      <c r="F27" s="24" t="n">
        <f aca="false">D27*E27</f>
        <v>1.284</v>
      </c>
      <c r="G27" s="29" t="n">
        <f aca="false">INDEX(Prices!$E$5:$E$82,MATCH(C27,Prices!$A$5:$A$82,0))</f>
        <v>1</v>
      </c>
      <c r="H27" s="20" t="n">
        <f aca="false">IF(D27&lt;=0,0,CEILING(D27/G27,1))</f>
        <v>1</v>
      </c>
      <c r="I27" s="30" t="n">
        <f aca="false">INDEX(Prices!$H$5:$H$82,MATCH(C27,Prices!$A$5:$A$82,0))</f>
        <v>12.84</v>
      </c>
      <c r="J27" s="24" t="n">
        <f aca="false">H27*I27</f>
        <v>12.84</v>
      </c>
      <c r="K27" s="24" t="n">
        <f aca="false">IF(D27&lt;=0,0,IF(ISNUMBER(INDEX(Prices!$L$5:$L$82,MATCH(C27,Prices!$A$5:$A$82,0))),CEILING(D27/INDEX(Prices!$K$5:$K$82,MATCH(C27,Prices!$A$5:$A$82,0)),1)*INDEX(Prices!$L$5:$L$82,MATCH(C27,Prices!$A$5:$A$82,0)),J27))</f>
        <v>12.84</v>
      </c>
      <c r="L27" s="21" t="s">
        <v>527</v>
      </c>
      <c r="M27" s="27" t="str">
        <f aca="false">IFERROR(IF(INDEX(Prices!$O$5:$O$82,MATCH(C27,Prices!$A$5:$A$82,0))="","",HYPERLINK(INDEX(Prices!$O$5:$O$82,MATCH(C27,Prices!$A$5:$A$82,0)),INDEX(Prices!$D$5:$D$82,MATCH(C27,Prices!$A$5:$A$82,0)))),"")</f>
        <v>RobotShop (Canada)</v>
      </c>
    </row>
    <row r="28" customFormat="false" ht="15" hidden="false" customHeight="false" outlineLevel="0" collapsed="false">
      <c r="A28" s="20" t="s">
        <v>528</v>
      </c>
      <c r="B28" s="21" t="s">
        <v>606</v>
      </c>
      <c r="C28" s="29" t="s">
        <v>239</v>
      </c>
      <c r="D28" s="22" t="n">
        <v>30</v>
      </c>
      <c r="E28" s="30" t="n">
        <f aca="false">INDEX(Prices!$I$5:$I$82,MATCH(C28,Prices!$A$5:$A$82,0))</f>
        <v>0.1475</v>
      </c>
      <c r="F28" s="24" t="n">
        <f aca="false">D28*E28</f>
        <v>4.425</v>
      </c>
      <c r="G28" s="29" t="n">
        <f aca="false">INDEX(Prices!$E$5:$E$82,MATCH(C28,Prices!$A$5:$A$82,0))</f>
        <v>20</v>
      </c>
      <c r="H28" s="20" t="n">
        <f aca="false">IF(D28&lt;=0,0,CEILING(D28/G28,1))</f>
        <v>2</v>
      </c>
      <c r="I28" s="30" t="n">
        <f aca="false">INDEX(Prices!$H$5:$H$82,MATCH(C28,Prices!$A$5:$A$82,0))</f>
        <v>2.95</v>
      </c>
      <c r="J28" s="24" t="n">
        <f aca="false">H28*I28</f>
        <v>5.9</v>
      </c>
      <c r="K28" s="24" t="n">
        <f aca="false">IF(D28&lt;=0,0,IF(ISNUMBER(INDEX(Prices!$L$5:$L$82,MATCH(C28,Prices!$A$5:$A$82,0))),CEILING(D28/INDEX(Prices!$K$5:$K$82,MATCH(C28,Prices!$A$5:$A$82,0)),1)*INDEX(Prices!$L$5:$L$82,MATCH(C28,Prices!$A$5:$A$82,0)),J28))</f>
        <v>5.9</v>
      </c>
      <c r="L28" s="21"/>
      <c r="M28" s="27" t="str">
        <f aca="false">IFERROR(IF(INDEX(Prices!$O$5:$O$82,MATCH(C28,Prices!$A$5:$A$82,0))="","",HYPERLINK(INDEX(Prices!$O$5:$O$82,MATCH(C28,Prices!$A$5:$A$82,0)),INDEX(Prices!$D$5:$D$82,MATCH(C28,Prices!$A$5:$A$82,0)))),"")</f>
        <v>BC Robotics</v>
      </c>
    </row>
    <row r="29" customFormat="false" ht="15" hidden="false" customHeight="false" outlineLevel="0" collapsed="false">
      <c r="A29" s="20" t="s">
        <v>528</v>
      </c>
      <c r="B29" s="21" t="s">
        <v>607</v>
      </c>
      <c r="C29" s="29" t="s">
        <v>244</v>
      </c>
      <c r="D29" s="22" t="n">
        <v>12</v>
      </c>
      <c r="E29" s="30" t="n">
        <f aca="false">INDEX(Prices!$I$5:$I$82,MATCH(C29,Prices!$A$5:$A$82,0))</f>
        <v>0.35</v>
      </c>
      <c r="F29" s="24" t="n">
        <f aca="false">D29*E29</f>
        <v>4.2</v>
      </c>
      <c r="G29" s="29" t="n">
        <f aca="false">INDEX(Prices!$E$5:$E$82,MATCH(C29,Prices!$A$5:$A$82,0))</f>
        <v>1</v>
      </c>
      <c r="H29" s="20" t="n">
        <f aca="false">IF(D29&lt;=0,0,CEILING(D29/G29,1))</f>
        <v>12</v>
      </c>
      <c r="I29" s="30" t="n">
        <f aca="false">INDEX(Prices!$H$5:$H$82,MATCH(C29,Prices!$A$5:$A$82,0))</f>
        <v>0.35</v>
      </c>
      <c r="J29" s="24" t="n">
        <f aca="false">H29*I29</f>
        <v>4.2</v>
      </c>
      <c r="K29" s="24" t="n">
        <f aca="false">IF(D29&lt;=0,0,IF(ISNUMBER(INDEX(Prices!$L$5:$L$82,MATCH(C29,Prices!$A$5:$A$82,0))),CEILING(D29/INDEX(Prices!$K$5:$K$82,MATCH(C29,Prices!$A$5:$A$82,0)),1)*INDEX(Prices!$L$5:$L$82,MATCH(C29,Prices!$A$5:$A$82,0)),J29))</f>
        <v>4.2</v>
      </c>
      <c r="L29" s="21"/>
      <c r="M29" s="27" t="str">
        <f aca="false">IFERROR(IF(INDEX(Prices!$O$5:$O$82,MATCH(C29,Prices!$A$5:$A$82,0))="","",HYPERLINK(INDEX(Prices!$O$5:$O$82,MATCH(C29,Prices!$A$5:$A$82,0)),INDEX(Prices!$D$5:$D$82,MATCH(C29,Prices!$A$5:$A$82,0)))),"")</f>
        <v>Spool3D</v>
      </c>
    </row>
    <row r="30" customFormat="false" ht="15" hidden="false" customHeight="false" outlineLevel="0" collapsed="false">
      <c r="A30" s="20" t="s">
        <v>528</v>
      </c>
      <c r="B30" s="21" t="s">
        <v>608</v>
      </c>
      <c r="C30" s="29" t="s">
        <v>249</v>
      </c>
      <c r="D30" s="22" t="n">
        <v>36</v>
      </c>
      <c r="E30" s="30" t="n">
        <f aca="false">INDEX(Prices!$I$5:$I$82,MATCH(C30,Prices!$A$5:$A$82,0))</f>
        <v>0.095</v>
      </c>
      <c r="F30" s="24" t="n">
        <f aca="false">D30*E30</f>
        <v>3.42</v>
      </c>
      <c r="G30" s="29" t="n">
        <f aca="false">INDEX(Prices!$E$5:$E$82,MATCH(C30,Prices!$A$5:$A$82,0))</f>
        <v>10</v>
      </c>
      <c r="H30" s="20" t="n">
        <f aca="false">IF(D30&lt;=0,0,CEILING(D30/G30,1))</f>
        <v>4</v>
      </c>
      <c r="I30" s="30" t="n">
        <f aca="false">INDEX(Prices!$H$5:$H$82,MATCH(C30,Prices!$A$5:$A$82,0))</f>
        <v>0.95</v>
      </c>
      <c r="J30" s="24" t="n">
        <f aca="false">H30*I30</f>
        <v>3.8</v>
      </c>
      <c r="K30" s="24" t="n">
        <f aca="false">IF(D30&lt;=0,0,IF(ISNUMBER(INDEX(Prices!$L$5:$L$82,MATCH(C30,Prices!$A$5:$A$82,0))),CEILING(D30/INDEX(Prices!$K$5:$K$82,MATCH(C30,Prices!$A$5:$A$82,0)),1)*INDEX(Prices!$L$5:$L$82,MATCH(C30,Prices!$A$5:$A$82,0)),J30))</f>
        <v>4</v>
      </c>
      <c r="L30" s="21"/>
      <c r="M30" s="27" t="str">
        <f aca="false">IFERROR(IF(INDEX(Prices!$O$5:$O$82,MATCH(C30,Prices!$A$5:$A$82,0))="","",HYPERLINK(INDEX(Prices!$O$5:$O$82,MATCH(C30,Prices!$A$5:$A$82,0)),INDEX(Prices!$D$5:$D$82,MATCH(C30,Prices!$A$5:$A$82,0)))),"")</f>
        <v>RobotShop CA</v>
      </c>
    </row>
    <row r="31" customFormat="false" ht="15" hidden="false" customHeight="false" outlineLevel="0" collapsed="false">
      <c r="A31" s="20" t="s">
        <v>528</v>
      </c>
      <c r="B31" s="21" t="s">
        <v>609</v>
      </c>
      <c r="C31" s="29" t="s">
        <v>287</v>
      </c>
      <c r="D31" s="22" t="n">
        <v>6</v>
      </c>
      <c r="E31" s="30" t="n">
        <f aca="false">INDEX(Prices!$I$5:$I$82,MATCH(C31,Prices!$A$5:$A$82,0))</f>
        <v>0.095</v>
      </c>
      <c r="F31" s="24" t="n">
        <f aca="false">D31*E31</f>
        <v>0.57</v>
      </c>
      <c r="G31" s="29" t="n">
        <f aca="false">INDEX(Prices!$E$5:$E$82,MATCH(C31,Prices!$A$5:$A$82,0))</f>
        <v>10</v>
      </c>
      <c r="H31" s="20" t="n">
        <f aca="false">IF(D31&lt;=0,0,CEILING(D31/G31,1))</f>
        <v>1</v>
      </c>
      <c r="I31" s="30" t="n">
        <f aca="false">INDEX(Prices!$H$5:$H$82,MATCH(C31,Prices!$A$5:$A$82,0))</f>
        <v>0.95</v>
      </c>
      <c r="J31" s="24" t="n">
        <f aca="false">H31*I31</f>
        <v>0.95</v>
      </c>
      <c r="K31" s="24" t="n">
        <f aca="false">IF(D31&lt;=0,0,IF(ISNUMBER(INDEX(Prices!$L$5:$L$82,MATCH(C31,Prices!$A$5:$A$82,0))),CEILING(D31/INDEX(Prices!$K$5:$K$82,MATCH(C31,Prices!$A$5:$A$82,0)),1)*INDEX(Prices!$L$5:$L$82,MATCH(C31,Prices!$A$5:$A$82,0)),J31))</f>
        <v>0.95</v>
      </c>
      <c r="L31" s="21"/>
      <c r="M31" s="27" t="str">
        <f aca="false">IFERROR(IF(INDEX(Prices!$O$5:$O$82,MATCH(C31,Prices!$A$5:$A$82,0))="","",HYPERLINK(INDEX(Prices!$O$5:$O$82,MATCH(C31,Prices!$A$5:$A$82,0)),INDEX(Prices!$D$5:$D$82,MATCH(C31,Prices!$A$5:$A$82,0)))),"")</f>
        <v>RobotShop CA</v>
      </c>
    </row>
    <row r="32" customFormat="false" ht="15" hidden="false" customHeight="false" outlineLevel="0" collapsed="false">
      <c r="A32" s="20" t="s">
        <v>528</v>
      </c>
      <c r="B32" s="21" t="s">
        <v>610</v>
      </c>
      <c r="C32" s="29" t="s">
        <v>375</v>
      </c>
      <c r="D32" s="22" t="n">
        <v>28</v>
      </c>
      <c r="E32" s="30" t="n">
        <f aca="false">INDEX(Prices!$I$5:$I$82,MATCH(C32,Prices!$A$5:$A$82,0))</f>
        <v>0.149</v>
      </c>
      <c r="F32" s="24" t="n">
        <f aca="false">D32*E32</f>
        <v>4.172</v>
      </c>
      <c r="G32" s="29" t="n">
        <f aca="false">INDEX(Prices!$E$5:$E$82,MATCH(C32,Prices!$A$5:$A$82,0))</f>
        <v>10</v>
      </c>
      <c r="H32" s="20" t="n">
        <f aca="false">IF(D32&lt;=0,0,CEILING(D32/G32,1))</f>
        <v>3</v>
      </c>
      <c r="I32" s="30" t="n">
        <f aca="false">INDEX(Prices!$H$5:$H$82,MATCH(C32,Prices!$A$5:$A$82,0))</f>
        <v>1.49</v>
      </c>
      <c r="J32" s="24" t="n">
        <f aca="false">H32*I32</f>
        <v>4.47</v>
      </c>
      <c r="K32" s="24" t="n">
        <f aca="false">IF(D32&lt;=0,0,IF(ISNUMBER(INDEX(Prices!$L$5:$L$82,MATCH(C32,Prices!$A$5:$A$82,0))),CEILING(D32/INDEX(Prices!$K$5:$K$82,MATCH(C32,Prices!$A$5:$A$82,0)),1)*INDEX(Prices!$L$5:$L$82,MATCH(C32,Prices!$A$5:$A$82,0)),J32))</f>
        <v>4.47</v>
      </c>
      <c r="L32" s="21"/>
      <c r="M32" s="27" t="str">
        <f aca="false">IFERROR(IF(INDEX(Prices!$O$5:$O$82,MATCH(C32,Prices!$A$5:$A$82,0))="","",HYPERLINK(INDEX(Prices!$O$5:$O$82,MATCH(C32,Prices!$A$5:$A$82,0)),INDEX(Prices!$D$5:$D$82,MATCH(C32,Prices!$A$5:$A$82,0)))),"")</f>
        <v>Canada Robotix</v>
      </c>
    </row>
    <row r="33" customFormat="false" ht="15" hidden="false" customHeight="false" outlineLevel="0" collapsed="false">
      <c r="A33" s="20" t="s">
        <v>528</v>
      </c>
      <c r="B33" s="21" t="s">
        <v>611</v>
      </c>
      <c r="C33" s="29" t="s">
        <v>234</v>
      </c>
      <c r="D33" s="22" t="n">
        <v>8</v>
      </c>
      <c r="E33" s="30" t="n">
        <f aca="false">INDEX(Prices!$I$5:$I$82,MATCH(C33,Prices!$A$5:$A$82,0))</f>
        <v>0.149</v>
      </c>
      <c r="F33" s="24" t="n">
        <f aca="false">D33*E33</f>
        <v>1.192</v>
      </c>
      <c r="G33" s="29" t="n">
        <f aca="false">INDEX(Prices!$E$5:$E$82,MATCH(C33,Prices!$A$5:$A$82,0))</f>
        <v>10</v>
      </c>
      <c r="H33" s="20" t="n">
        <f aca="false">IF(D33&lt;=0,0,CEILING(D33/G33,1))</f>
        <v>1</v>
      </c>
      <c r="I33" s="30" t="n">
        <f aca="false">INDEX(Prices!$H$5:$H$82,MATCH(C33,Prices!$A$5:$A$82,0))</f>
        <v>1.49</v>
      </c>
      <c r="J33" s="24" t="n">
        <f aca="false">H33*I33</f>
        <v>1.49</v>
      </c>
      <c r="K33" s="24" t="n">
        <f aca="false">IF(D33&lt;=0,0,IF(ISNUMBER(INDEX(Prices!$L$5:$L$82,MATCH(C33,Prices!$A$5:$A$82,0))),CEILING(D33/INDEX(Prices!$K$5:$K$82,MATCH(C33,Prices!$A$5:$A$82,0)),1)*INDEX(Prices!$L$5:$L$82,MATCH(C33,Prices!$A$5:$A$82,0)),J33))</f>
        <v>1.49</v>
      </c>
      <c r="L33" s="21"/>
      <c r="M33" s="27" t="str">
        <f aca="false">IFERROR(IF(INDEX(Prices!$O$5:$O$82,MATCH(C33,Prices!$A$5:$A$82,0))="","",HYPERLINK(INDEX(Prices!$O$5:$O$82,MATCH(C33,Prices!$A$5:$A$82,0)),INDEX(Prices!$D$5:$D$82,MATCH(C33,Prices!$A$5:$A$82,0)))),"")</f>
        <v>Canada Robotix</v>
      </c>
    </row>
    <row r="34" customFormat="false" ht="15" hidden="false" customHeight="false" outlineLevel="0" collapsed="false">
      <c r="A34" s="20" t="s">
        <v>528</v>
      </c>
      <c r="B34" s="21" t="s">
        <v>612</v>
      </c>
      <c r="C34" s="29" t="s">
        <v>227</v>
      </c>
      <c r="D34" s="22" t="n">
        <v>18</v>
      </c>
      <c r="E34" s="30" t="n">
        <f aca="false">INDEX(Prices!$I$5:$I$82,MATCH(C34,Prices!$A$5:$A$82,0))</f>
        <v>0.7612</v>
      </c>
      <c r="F34" s="24" t="n">
        <f aca="false">D34*E34</f>
        <v>13.7016</v>
      </c>
      <c r="G34" s="29" t="n">
        <f aca="false">INDEX(Prices!$E$5:$E$82,MATCH(C34,Prices!$A$5:$A$82,0))</f>
        <v>50</v>
      </c>
      <c r="H34" s="20" t="n">
        <f aca="false">IF(D34&lt;=0,0,CEILING(D34/G34,1))</f>
        <v>1</v>
      </c>
      <c r="I34" s="30" t="n">
        <f aca="false">INDEX(Prices!$H$5:$H$82,MATCH(C34,Prices!$A$5:$A$82,0))</f>
        <v>38.06</v>
      </c>
      <c r="J34" s="24" t="n">
        <f aca="false">H34*I34</f>
        <v>38.06</v>
      </c>
      <c r="K34" s="24" t="n">
        <f aca="false">IF(D34&lt;=0,0,IF(ISNUMBER(INDEX(Prices!$L$5:$L$82,MATCH(C34,Prices!$A$5:$A$82,0))),CEILING(D34/INDEX(Prices!$K$5:$K$82,MATCH(C34,Prices!$A$5:$A$82,0)),1)*INDEX(Prices!$L$5:$L$82,MATCH(C34,Prices!$A$5:$A$82,0)),J34))</f>
        <v>7</v>
      </c>
      <c r="L34" s="21"/>
      <c r="M34" s="27" t="str">
        <f aca="false">IFERROR(IF(INDEX(Prices!$O$5:$O$82,MATCH(C34,Prices!$A$5:$A$82,0))="","",HYPERLINK(INDEX(Prices!$O$5:$O$82,MATCH(C34,Prices!$A$5:$A$82,0)),INDEX(Prices!$D$5:$D$82,MATCH(C34,Prices!$A$5:$A$82,0)))),"")</f>
        <v>Bearings Canada (Woodbridge ON)</v>
      </c>
    </row>
    <row r="35" customFormat="false" ht="15" hidden="false" customHeight="false" outlineLevel="0" collapsed="false">
      <c r="A35" s="20" t="s">
        <v>540</v>
      </c>
      <c r="B35" s="21" t="s">
        <v>584</v>
      </c>
      <c r="C35" s="29" t="s">
        <v>103</v>
      </c>
      <c r="D35" s="22" t="n">
        <v>0.2</v>
      </c>
      <c r="E35" s="30" t="n">
        <f aca="false">INDEX(Prices!$I$5:$I$82,MATCH(C35,Prices!$A$5:$A$82,0))</f>
        <v>9.99</v>
      </c>
      <c r="F35" s="24" t="n">
        <f aca="false">D35*E35</f>
        <v>1.998</v>
      </c>
      <c r="G35" s="29" t="n">
        <f aca="false">INDEX(Prices!$E$5:$E$82,MATCH(C35,Prices!$A$5:$A$82,0))</f>
        <v>1</v>
      </c>
      <c r="H35" s="20" t="n">
        <f aca="false">IF(D35&lt;=0,0,CEILING(D35/G35,1))</f>
        <v>1</v>
      </c>
      <c r="I35" s="30" t="n">
        <f aca="false">INDEX(Prices!$H$5:$H$82,MATCH(C35,Prices!$A$5:$A$82,0))</f>
        <v>9.99</v>
      </c>
      <c r="J35" s="24" t="n">
        <f aca="false">H35*I35</f>
        <v>9.99</v>
      </c>
      <c r="K35" s="24" t="n">
        <f aca="false">IF(D35&lt;=0,0,IF(ISNUMBER(INDEX(Prices!$L$5:$L$82,MATCH(C35,Prices!$A$5:$A$82,0))),CEILING(D35/INDEX(Prices!$K$5:$K$82,MATCH(C35,Prices!$A$5:$A$82,0)),1)*INDEX(Prices!$L$5:$L$82,MATCH(C35,Prices!$A$5:$A$82,0)),J35))</f>
        <v>9.99</v>
      </c>
      <c r="L35" s="21" t="s">
        <v>585</v>
      </c>
      <c r="M35" s="27" t="str">
        <f aca="false">IFERROR(IF(INDEX(Prices!$O$5:$O$82,MATCH(C35,Prices!$A$5:$A$82,0))="","",HYPERLINK(INDEX(Prices!$O$5:$O$82,MATCH(C35,Prices!$A$5:$A$82,0)),INDEX(Prices!$D$5:$D$82,MATCH(C35,Prices!$A$5:$A$82,0)))),"")</f>
        <v>Princess Auto</v>
      </c>
    </row>
    <row r="37" customFormat="false" ht="15" hidden="false" customHeight="false" outlineLevel="0" collapsed="false">
      <c r="A37" s="3" t="s">
        <v>544</v>
      </c>
    </row>
    <row r="38" customFormat="false" ht="15" hidden="false" customHeight="false" outlineLevel="0" collapsed="false">
      <c r="A38" s="4" t="s">
        <v>545</v>
      </c>
      <c r="B38" s="4" t="s">
        <v>546</v>
      </c>
      <c r="D38" s="31" t="n">
        <v>0.388</v>
      </c>
      <c r="E38" s="8" t="n">
        <f aca="false">Summary!$C$9</f>
        <v>14.99</v>
      </c>
      <c r="F38" s="32" t="n">
        <f aca="false">D38*E38</f>
        <v>5.81612</v>
      </c>
      <c r="J38" s="32" t="n">
        <f aca="false">CEILING(D38,1)*E38</f>
        <v>14.99</v>
      </c>
      <c r="K38" s="32" t="n">
        <f aca="false">F38</f>
        <v>5.81612</v>
      </c>
      <c r="L38" s="4" t="s">
        <v>613</v>
      </c>
    </row>
    <row r="39" customFormat="false" ht="15" hidden="false" customHeight="false" outlineLevel="0" collapsed="false">
      <c r="A39" s="4" t="s">
        <v>545</v>
      </c>
      <c r="B39" s="4" t="s">
        <v>548</v>
      </c>
      <c r="D39" s="31" t="n">
        <v>31.6</v>
      </c>
      <c r="E39" s="33" t="n">
        <f aca="false">Summary!$C$11*Summary!$C$10</f>
        <v>0.014256</v>
      </c>
      <c r="F39" s="32" t="n">
        <f aca="false">D39*E39</f>
        <v>0.4504896</v>
      </c>
      <c r="J39" s="32" t="n">
        <f aca="false">D39*E39</f>
        <v>0.4504896</v>
      </c>
      <c r="K39" s="32" t="n">
        <f aca="false">D39*E39</f>
        <v>0.4504896</v>
      </c>
      <c r="L39" s="4" t="s">
        <v>549</v>
      </c>
    </row>
    <row r="41" customFormat="false" ht="15" hidden="false" customHeight="false" outlineLevel="0" collapsed="false">
      <c r="B41" s="34" t="s">
        <v>18</v>
      </c>
      <c r="F41" s="35" t="n">
        <f aca="false">SUM(F5:F35)+F38+F39</f>
        <v>311.2145786</v>
      </c>
      <c r="J41" s="35" t="n">
        <f aca="false">SUM(J5:J35)+J38+J39</f>
        <v>428.0147796</v>
      </c>
      <c r="K41" s="35" t="n">
        <f aca="false">SUM(K5:K35)+K38+K39</f>
        <v>337.9119196</v>
      </c>
    </row>
    <row r="42" customFormat="false" ht="15" hidden="false" customHeight="false" outlineLevel="0" collapsed="false">
      <c r="B42" s="4" t="s">
        <v>550</v>
      </c>
      <c r="F42" s="32" t="n">
        <f aca="false">F41*Summary!$C$7</f>
        <v>46.68218679</v>
      </c>
      <c r="J42" s="32" t="n">
        <f aca="false">J41*Summary!$C$7</f>
        <v>64.20221694</v>
      </c>
      <c r="K42" s="32" t="n">
        <f aca="false">K41*Summary!$C$7</f>
        <v>50.68678794</v>
      </c>
    </row>
    <row r="43" customFormat="false" ht="15" hidden="false" customHeight="false" outlineLevel="0" collapsed="false">
      <c r="B43" s="34" t="s">
        <v>19</v>
      </c>
      <c r="F43" s="35" t="n">
        <f aca="false">F41+F42</f>
        <v>357.89676539</v>
      </c>
      <c r="J43" s="35" t="n">
        <f aca="false">J41+J42</f>
        <v>492.21699654</v>
      </c>
      <c r="K43" s="35" t="n">
        <f aca="false">K41+K42</f>
        <v>388.59870754</v>
      </c>
    </row>
  </sheetData>
  <mergeCells count="1">
    <mergeCell ref="A2:M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9"/>
    <col collapsed="false" customWidth="true" hidden="false" outlineLevel="0" max="5" min="4" style="0" width="8"/>
    <col collapsed="false" customWidth="true" hidden="false" outlineLevel="0" max="6" min="6" style="0" width="11"/>
    <col collapsed="false" customWidth="true" hidden="false" outlineLevel="0" max="8" min="7" style="0" width="12"/>
  </cols>
  <sheetData>
    <row r="1" customFormat="false" ht="19.7" hidden="false" customHeight="false" outlineLevel="0" collapsed="false">
      <c r="A1" s="1" t="s">
        <v>614</v>
      </c>
    </row>
    <row r="2" customFormat="false" ht="15" hidden="false" customHeight="true" outlineLevel="0" collapsed="false">
      <c r="A2" s="2" t="s">
        <v>615</v>
      </c>
      <c r="B2" s="2"/>
      <c r="C2" s="2"/>
      <c r="D2" s="2"/>
      <c r="E2" s="2"/>
      <c r="F2" s="2"/>
      <c r="G2" s="2"/>
      <c r="H2" s="2"/>
    </row>
    <row r="4" customFormat="false" ht="23.85" hidden="false" customHeight="false" outlineLevel="0" collapsed="false">
      <c r="A4" s="11" t="s">
        <v>487</v>
      </c>
      <c r="B4" s="11" t="s">
        <v>37</v>
      </c>
      <c r="C4" s="11" t="s">
        <v>616</v>
      </c>
      <c r="D4" s="11" t="s">
        <v>40</v>
      </c>
      <c r="E4" s="11" t="s">
        <v>491</v>
      </c>
      <c r="F4" s="11" t="s">
        <v>41</v>
      </c>
      <c r="G4" s="11" t="s">
        <v>492</v>
      </c>
      <c r="H4" s="11" t="s">
        <v>493</v>
      </c>
    </row>
    <row r="5" customFormat="false" ht="15" hidden="false" customHeight="false" outlineLevel="0" collapsed="false">
      <c r="A5" s="36" t="s">
        <v>52</v>
      </c>
      <c r="B5" s="4" t="s">
        <v>53</v>
      </c>
      <c r="C5" s="4" t="n">
        <f aca="false">SUMIF(Arm!$C$5:$C$36,A5,Arm!$D$5:$D$36)+SUMIF(Rover!$C$5:$C$39,A5,Rover!$D$5:$D$39)+SUMIF(Hexapod!$C$5:$C$35,A5,Hexapod!$D$5:$D$35)</f>
        <v>1</v>
      </c>
      <c r="D5" s="36" t="n">
        <f aca="false">INDEX(Prices!$E$5:$E$82,MATCH(A5,Prices!$A$5:$A$82,0))</f>
        <v>1</v>
      </c>
      <c r="E5" s="4" t="n">
        <f aca="false">IF(C5&lt;=0,0,CEILING(C5/D5,1))</f>
        <v>1</v>
      </c>
      <c r="F5" s="8" t="n">
        <f aca="false">INDEX(Prices!$H$5:$H$82,MATCH(A5,Prices!$A$5:$A$82,0))</f>
        <v>2.99</v>
      </c>
      <c r="G5" s="32" t="n">
        <f aca="false">E5*F5</f>
        <v>2.99</v>
      </c>
      <c r="H5" s="32" t="n">
        <f aca="false">IF(C5&lt;=0,0,IF(ISNUMBER(INDEX(Prices!$L$5:$L$82,MATCH(A5,Prices!$A$5:$A$82,0))),CEILING(C5/INDEX(Prices!$K$5:$K$82,MATCH(A5,Prices!$A$5:$A$82,0)),1)*INDEX(Prices!$L$5:$L$82,MATCH(A5,Prices!$A$5:$A$82,0)),G5))</f>
        <v>2.99</v>
      </c>
    </row>
    <row r="6" customFormat="false" ht="15" hidden="false" customHeight="false" outlineLevel="0" collapsed="false">
      <c r="A6" s="36" t="s">
        <v>60</v>
      </c>
      <c r="B6" s="4" t="s">
        <v>61</v>
      </c>
      <c r="C6" s="4" t="n">
        <f aca="false">SUMIF(Arm!$C$5:$C$36,A6,Arm!$D$5:$D$36)+SUMIF(Rover!$C$5:$C$39,A6,Rover!$D$5:$D$39)+SUMIF(Hexapod!$C$5:$C$35,A6,Hexapod!$D$5:$D$35)</f>
        <v>0</v>
      </c>
      <c r="D6" s="36" t="n">
        <f aca="false">INDEX(Prices!$E$5:$E$82,MATCH(A6,Prices!$A$5:$A$82,0))</f>
        <v>1</v>
      </c>
      <c r="E6" s="4" t="n">
        <f aca="false">IF(C6&lt;=0,0,CEILING(C6/D6,1))</f>
        <v>0</v>
      </c>
      <c r="F6" s="8" t="n">
        <f aca="false">INDEX(Prices!$H$5:$H$82,MATCH(A6,Prices!$A$5:$A$82,0))</f>
        <v>249.99</v>
      </c>
      <c r="G6" s="32" t="n">
        <f aca="false">E6*F6</f>
        <v>0</v>
      </c>
      <c r="H6" s="32" t="n">
        <f aca="false">IF(C6&lt;=0,0,IF(ISNUMBER(INDEX(Prices!$L$5:$L$82,MATCH(A6,Prices!$A$5:$A$82,0))),CEILING(C6/INDEX(Prices!$K$5:$K$82,MATCH(A6,Prices!$A$5:$A$82,0)),1)*INDEX(Prices!$L$5:$L$82,MATCH(A6,Prices!$A$5:$A$82,0)),G6))</f>
        <v>0</v>
      </c>
    </row>
    <row r="7" customFormat="false" ht="15" hidden="false" customHeight="false" outlineLevel="0" collapsed="false">
      <c r="A7" s="36" t="s">
        <v>66</v>
      </c>
      <c r="B7" s="4" t="s">
        <v>67</v>
      </c>
      <c r="C7" s="4" t="n">
        <f aca="false">SUMIF(Arm!$C$5:$C$36,A7,Arm!$D$5:$D$36)+SUMIF(Rover!$C$5:$C$39,A7,Rover!$D$5:$D$39)+SUMIF(Hexapod!$C$5:$C$35,A7,Hexapod!$D$5:$D$35)</f>
        <v>3</v>
      </c>
      <c r="D7" s="36" t="n">
        <f aca="false">INDEX(Prices!$E$5:$E$82,MATCH(A7,Prices!$A$5:$A$82,0))</f>
        <v>1</v>
      </c>
      <c r="E7" s="4" t="n">
        <f aca="false">IF(C7&lt;=0,0,CEILING(C7/D7,1))</f>
        <v>3</v>
      </c>
      <c r="F7" s="8" t="n">
        <f aca="false">INDEX(Prices!$H$5:$H$82,MATCH(A7,Prices!$A$5:$A$82,0))</f>
        <v>0.71</v>
      </c>
      <c r="G7" s="32" t="n">
        <f aca="false">E7*F7</f>
        <v>2.13</v>
      </c>
      <c r="H7" s="32" t="n">
        <f aca="false">IF(C7&lt;=0,0,IF(ISNUMBER(INDEX(Prices!$L$5:$L$82,MATCH(A7,Prices!$A$5:$A$82,0))),CEILING(C7/INDEX(Prices!$K$5:$K$82,MATCH(A7,Prices!$A$5:$A$82,0)),1)*INDEX(Prices!$L$5:$L$82,MATCH(A7,Prices!$A$5:$A$82,0)),G7))</f>
        <v>2.13</v>
      </c>
    </row>
    <row r="8" customFormat="false" ht="15" hidden="false" customHeight="false" outlineLevel="0" collapsed="false">
      <c r="A8" s="36" t="s">
        <v>72</v>
      </c>
      <c r="B8" s="4" t="s">
        <v>73</v>
      </c>
      <c r="C8" s="4" t="n">
        <f aca="false">SUMIF(Arm!$C$5:$C$36,A8,Arm!$D$5:$D$36)+SUMIF(Rover!$C$5:$C$39,A8,Rover!$D$5:$D$39)+SUMIF(Hexapod!$C$5:$C$35,A8,Hexapod!$D$5:$D$35)</f>
        <v>1</v>
      </c>
      <c r="D8" s="36" t="n">
        <f aca="false">INDEX(Prices!$E$5:$E$82,MATCH(A8,Prices!$A$5:$A$82,0))</f>
        <v>1</v>
      </c>
      <c r="E8" s="4" t="n">
        <f aca="false">IF(C8&lt;=0,0,CEILING(C8/D8,1))</f>
        <v>1</v>
      </c>
      <c r="F8" s="8" t="n">
        <f aca="false">INDEX(Prices!$H$5:$H$82,MATCH(A8,Prices!$A$5:$A$82,0))</f>
        <v>0.71</v>
      </c>
      <c r="G8" s="32" t="n">
        <f aca="false">E8*F8</f>
        <v>0.71</v>
      </c>
      <c r="H8" s="32" t="n">
        <f aca="false">IF(C8&lt;=0,0,IF(ISNUMBER(INDEX(Prices!$L$5:$L$82,MATCH(A8,Prices!$A$5:$A$82,0))),CEILING(C8/INDEX(Prices!$K$5:$K$82,MATCH(A8,Prices!$A$5:$A$82,0)),1)*INDEX(Prices!$L$5:$L$82,MATCH(A8,Prices!$A$5:$A$82,0)),G8))</f>
        <v>0.71</v>
      </c>
    </row>
    <row r="9" customFormat="false" ht="15" hidden="false" customHeight="false" outlineLevel="0" collapsed="false">
      <c r="A9" s="36" t="s">
        <v>77</v>
      </c>
      <c r="B9" s="4" t="s">
        <v>78</v>
      </c>
      <c r="C9" s="4" t="n">
        <f aca="false">SUMIF(Arm!$C$5:$C$36,A9,Arm!$D$5:$D$36)+SUMIF(Rover!$C$5:$C$39,A9,Rover!$D$5:$D$39)+SUMIF(Hexapod!$C$5:$C$35,A9,Hexapod!$D$5:$D$35)</f>
        <v>2</v>
      </c>
      <c r="D9" s="36" t="n">
        <f aca="false">INDEX(Prices!$E$5:$E$82,MATCH(A9,Prices!$A$5:$A$82,0))</f>
        <v>1</v>
      </c>
      <c r="E9" s="4" t="n">
        <f aca="false">IF(C9&lt;=0,0,CEILING(C9/D9,1))</f>
        <v>2</v>
      </c>
      <c r="F9" s="8" t="n">
        <f aca="false">INDEX(Prices!$H$5:$H$82,MATCH(A9,Prices!$A$5:$A$82,0))</f>
        <v>29.95</v>
      </c>
      <c r="G9" s="32" t="n">
        <f aca="false">E9*F9</f>
        <v>59.9</v>
      </c>
      <c r="H9" s="32" t="n">
        <f aca="false">IF(C9&lt;=0,0,IF(ISNUMBER(INDEX(Prices!$L$5:$L$82,MATCH(A9,Prices!$A$5:$A$82,0))),CEILING(C9/INDEX(Prices!$K$5:$K$82,MATCH(A9,Prices!$A$5:$A$82,0)),1)*INDEX(Prices!$L$5:$L$82,MATCH(A9,Prices!$A$5:$A$82,0)),G9))</f>
        <v>20.961514</v>
      </c>
    </row>
    <row r="10" customFormat="false" ht="15" hidden="false" customHeight="false" outlineLevel="0" collapsed="false">
      <c r="A10" s="36" t="s">
        <v>85</v>
      </c>
      <c r="B10" s="4" t="s">
        <v>86</v>
      </c>
      <c r="C10" s="4" t="n">
        <f aca="false">SUMIF(Arm!$C$5:$C$36,A10,Arm!$D$5:$D$36)+SUMIF(Rover!$C$5:$C$39,A10,Rover!$D$5:$D$39)+SUMIF(Hexapod!$C$5:$C$35,A10,Hexapod!$D$5:$D$35)</f>
        <v>4</v>
      </c>
      <c r="D10" s="36" t="n">
        <f aca="false">INDEX(Prices!$E$5:$E$82,MATCH(A10,Prices!$A$5:$A$82,0))</f>
        <v>5</v>
      </c>
      <c r="E10" s="4" t="n">
        <f aca="false">IF(C10&lt;=0,0,CEILING(C10/D10,1))</f>
        <v>1</v>
      </c>
      <c r="F10" s="8" t="n">
        <f aca="false">INDEX(Prices!$H$5:$H$82,MATCH(A10,Prices!$A$5:$A$82,0))</f>
        <v>1.99</v>
      </c>
      <c r="G10" s="32" t="n">
        <f aca="false">E10*F10</f>
        <v>1.99</v>
      </c>
      <c r="H10" s="32" t="n">
        <f aca="false">IF(C10&lt;=0,0,IF(ISNUMBER(INDEX(Prices!$L$5:$L$82,MATCH(A10,Prices!$A$5:$A$82,0))),CEILING(C10/INDEX(Prices!$K$5:$K$82,MATCH(A10,Prices!$A$5:$A$82,0)),1)*INDEX(Prices!$L$5:$L$82,MATCH(A10,Prices!$A$5:$A$82,0)),G10))</f>
        <v>1.99</v>
      </c>
    </row>
    <row r="11" customFormat="false" ht="15" hidden="false" customHeight="false" outlineLevel="0" collapsed="false">
      <c r="A11" s="36" t="s">
        <v>90</v>
      </c>
      <c r="B11" s="4" t="s">
        <v>91</v>
      </c>
      <c r="C11" s="4" t="n">
        <f aca="false">SUMIF(Arm!$C$5:$C$36,A11,Arm!$D$5:$D$36)+SUMIF(Rover!$C$5:$C$39,A11,Rover!$D$5:$D$39)+SUMIF(Hexapod!$C$5:$C$35,A11,Hexapod!$D$5:$D$35)</f>
        <v>1</v>
      </c>
      <c r="D11" s="36" t="n">
        <f aca="false">INDEX(Prices!$E$5:$E$82,MATCH(A11,Prices!$A$5:$A$82,0))</f>
        <v>1</v>
      </c>
      <c r="E11" s="4" t="n">
        <f aca="false">IF(C11&lt;=0,0,CEILING(C11/D11,1))</f>
        <v>1</v>
      </c>
      <c r="F11" s="8" t="n">
        <f aca="false">INDEX(Prices!$H$5:$H$82,MATCH(A11,Prices!$A$5:$A$82,0))</f>
        <v>20.28985</v>
      </c>
      <c r="G11" s="32" t="n">
        <f aca="false">E11*F11</f>
        <v>20.28985</v>
      </c>
      <c r="H11" s="32" t="n">
        <f aca="false">IF(C11&lt;=0,0,IF(ISNUMBER(INDEX(Prices!$L$5:$L$82,MATCH(A11,Prices!$A$5:$A$82,0))),CEILING(C11/INDEX(Prices!$K$5:$K$82,MATCH(A11,Prices!$A$5:$A$82,0)),1)*INDEX(Prices!$L$5:$L$82,MATCH(A11,Prices!$A$5:$A$82,0)),G11))</f>
        <v>20.28985</v>
      </c>
    </row>
    <row r="12" customFormat="false" ht="15" hidden="false" customHeight="false" outlineLevel="0" collapsed="false">
      <c r="A12" s="36" t="s">
        <v>97</v>
      </c>
      <c r="B12" s="4" t="s">
        <v>98</v>
      </c>
      <c r="C12" s="4" t="n">
        <f aca="false">SUMIF(Arm!$C$5:$C$36,A12,Arm!$D$5:$D$36)+SUMIF(Rover!$C$5:$C$39,A12,Rover!$D$5:$D$39)+SUMIF(Hexapod!$C$5:$C$35,A12,Hexapod!$D$5:$D$35)</f>
        <v>0.5</v>
      </c>
      <c r="D12" s="36" t="n">
        <f aca="false">INDEX(Prices!$E$5:$E$82,MATCH(A12,Prices!$A$5:$A$82,0))</f>
        <v>2</v>
      </c>
      <c r="E12" s="4" t="n">
        <f aca="false">IF(C12&lt;=0,0,CEILING(C12/D12,1))</f>
        <v>1</v>
      </c>
      <c r="F12" s="8" t="n">
        <f aca="false">INDEX(Prices!$H$5:$H$82,MATCH(A12,Prices!$A$5:$A$82,0))</f>
        <v>9.99</v>
      </c>
      <c r="G12" s="32" t="n">
        <f aca="false">E12*F12</f>
        <v>9.99</v>
      </c>
      <c r="H12" s="32" t="n">
        <f aca="false">IF(C12&lt;=0,0,IF(ISNUMBER(INDEX(Prices!$L$5:$L$82,MATCH(A12,Prices!$A$5:$A$82,0))),CEILING(C12/INDEX(Prices!$K$5:$K$82,MATCH(A12,Prices!$A$5:$A$82,0)),1)*INDEX(Prices!$L$5:$L$82,MATCH(A12,Prices!$A$5:$A$82,0)),G12))</f>
        <v>9.99</v>
      </c>
    </row>
    <row r="13" customFormat="false" ht="15" hidden="false" customHeight="false" outlineLevel="0" collapsed="false">
      <c r="A13" s="36" t="s">
        <v>103</v>
      </c>
      <c r="B13" s="4" t="s">
        <v>104</v>
      </c>
      <c r="C13" s="4" t="n">
        <f aca="false">SUMIF(Arm!$C$5:$C$36,A13,Arm!$D$5:$D$36)+SUMIF(Rover!$C$5:$C$39,A13,Rover!$D$5:$D$39)+SUMIF(Hexapod!$C$5:$C$35,A13,Hexapod!$D$5:$D$35)</f>
        <v>0.4</v>
      </c>
      <c r="D13" s="36" t="n">
        <f aca="false">INDEX(Prices!$E$5:$E$82,MATCH(A13,Prices!$A$5:$A$82,0))</f>
        <v>1</v>
      </c>
      <c r="E13" s="4" t="n">
        <f aca="false">IF(C13&lt;=0,0,CEILING(C13/D13,1))</f>
        <v>1</v>
      </c>
      <c r="F13" s="8" t="n">
        <f aca="false">INDEX(Prices!$H$5:$H$82,MATCH(A13,Prices!$A$5:$A$82,0))</f>
        <v>9.99</v>
      </c>
      <c r="G13" s="32" t="n">
        <f aca="false">E13*F13</f>
        <v>9.99</v>
      </c>
      <c r="H13" s="32" t="n">
        <f aca="false">IF(C13&lt;=0,0,IF(ISNUMBER(INDEX(Prices!$L$5:$L$82,MATCH(A13,Prices!$A$5:$A$82,0))),CEILING(C13/INDEX(Prices!$K$5:$K$82,MATCH(A13,Prices!$A$5:$A$82,0)),1)*INDEX(Prices!$L$5:$L$82,MATCH(A13,Prices!$A$5:$A$82,0)),G13))</f>
        <v>9.99</v>
      </c>
    </row>
    <row r="14" customFormat="false" ht="15" hidden="false" customHeight="false" outlineLevel="0" collapsed="false">
      <c r="A14" s="36" t="s">
        <v>108</v>
      </c>
      <c r="B14" s="4" t="s">
        <v>109</v>
      </c>
      <c r="C14" s="4" t="n">
        <f aca="false">SUMIF(Arm!$C$5:$C$36,A14,Arm!$D$5:$D$36)+SUMIF(Rover!$C$5:$C$39,A14,Rover!$D$5:$D$39)+SUMIF(Hexapod!$C$5:$C$35,A14,Hexapod!$D$5:$D$35)</f>
        <v>2</v>
      </c>
      <c r="D14" s="36" t="n">
        <f aca="false">INDEX(Prices!$E$5:$E$82,MATCH(A14,Prices!$A$5:$A$82,0))</f>
        <v>12</v>
      </c>
      <c r="E14" s="4" t="n">
        <f aca="false">IF(C14&lt;=0,0,CEILING(C14/D14,1))</f>
        <v>1</v>
      </c>
      <c r="F14" s="8" t="n">
        <f aca="false">INDEX(Prices!$H$5:$H$82,MATCH(A14,Prices!$A$5:$A$82,0))</f>
        <v>6.99</v>
      </c>
      <c r="G14" s="32" t="n">
        <f aca="false">E14*F14</f>
        <v>6.99</v>
      </c>
      <c r="H14" s="32" t="n">
        <f aca="false">IF(C14&lt;=0,0,IF(ISNUMBER(INDEX(Prices!$L$5:$L$82,MATCH(A14,Prices!$A$5:$A$82,0))),CEILING(C14/INDEX(Prices!$K$5:$K$82,MATCH(A14,Prices!$A$5:$A$82,0)),1)*INDEX(Prices!$L$5:$L$82,MATCH(A14,Prices!$A$5:$A$82,0)),G14))</f>
        <v>6.99</v>
      </c>
    </row>
    <row r="15" customFormat="false" ht="15" hidden="false" customHeight="false" outlineLevel="0" collapsed="false">
      <c r="A15" s="36" t="s">
        <v>113</v>
      </c>
      <c r="B15" s="4" t="s">
        <v>114</v>
      </c>
      <c r="C15" s="4" t="n">
        <f aca="false">SUMIF(Arm!$C$5:$C$36,A15,Arm!$D$5:$D$36)+SUMIF(Rover!$C$5:$C$39,A15,Rover!$D$5:$D$39)+SUMIF(Hexapod!$C$5:$C$35,A15,Hexapod!$D$5:$D$35)</f>
        <v>0.2</v>
      </c>
      <c r="D15" s="36" t="n">
        <f aca="false">INDEX(Prices!$E$5:$E$82,MATCH(A15,Prices!$A$5:$A$82,0))</f>
        <v>1</v>
      </c>
      <c r="E15" s="4" t="n">
        <f aca="false">IF(C15&lt;=0,0,CEILING(C15/D15,1))</f>
        <v>1</v>
      </c>
      <c r="F15" s="8" t="n">
        <f aca="false">INDEX(Prices!$H$5:$H$82,MATCH(A15,Prices!$A$5:$A$82,0))</f>
        <v>11.41</v>
      </c>
      <c r="G15" s="32" t="n">
        <f aca="false">E15*F15</f>
        <v>11.41</v>
      </c>
      <c r="H15" s="32" t="n">
        <f aca="false">IF(C15&lt;=0,0,IF(ISNUMBER(INDEX(Prices!$L$5:$L$82,MATCH(A15,Prices!$A$5:$A$82,0))),CEILING(C15/INDEX(Prices!$K$5:$K$82,MATCH(A15,Prices!$A$5:$A$82,0)),1)*INDEX(Prices!$L$5:$L$82,MATCH(A15,Prices!$A$5:$A$82,0)),G15))</f>
        <v>11.41</v>
      </c>
    </row>
    <row r="16" customFormat="false" ht="15" hidden="false" customHeight="false" outlineLevel="0" collapsed="false">
      <c r="A16" s="36" t="s">
        <v>118</v>
      </c>
      <c r="B16" s="4" t="s">
        <v>119</v>
      </c>
      <c r="C16" s="4" t="n">
        <f aca="false">SUMIF(Arm!$C$5:$C$36,A16,Arm!$D$5:$D$36)+SUMIF(Rover!$C$5:$C$39,A16,Rover!$D$5:$D$39)+SUMIF(Hexapod!$C$5:$C$35,A16,Hexapod!$D$5:$D$35)</f>
        <v>1</v>
      </c>
      <c r="D16" s="36" t="n">
        <f aca="false">INDEX(Prices!$E$5:$E$82,MATCH(A16,Prices!$A$5:$A$82,0))</f>
        <v>1</v>
      </c>
      <c r="E16" s="4" t="n">
        <f aca="false">IF(C16&lt;=0,0,CEILING(C16/D16,1))</f>
        <v>1</v>
      </c>
      <c r="F16" s="8" t="n">
        <f aca="false">INDEX(Prices!$H$5:$H$82,MATCH(A16,Prices!$A$5:$A$82,0))</f>
        <v>1.95</v>
      </c>
      <c r="G16" s="32" t="n">
        <f aca="false">E16*F16</f>
        <v>1.95</v>
      </c>
      <c r="H16" s="32" t="n">
        <f aca="false">IF(C16&lt;=0,0,IF(ISNUMBER(INDEX(Prices!$L$5:$L$82,MATCH(A16,Prices!$A$5:$A$82,0))),CEILING(C16/INDEX(Prices!$K$5:$K$82,MATCH(A16,Prices!$A$5:$A$82,0)),1)*INDEX(Prices!$L$5:$L$82,MATCH(A16,Prices!$A$5:$A$82,0)),G16))</f>
        <v>1.95</v>
      </c>
    </row>
    <row r="17" customFormat="false" ht="15" hidden="false" customHeight="false" outlineLevel="0" collapsed="false">
      <c r="A17" s="36" t="s">
        <v>124</v>
      </c>
      <c r="B17" s="4" t="s">
        <v>125</v>
      </c>
      <c r="C17" s="4" t="n">
        <f aca="false">SUMIF(Arm!$C$5:$C$36,A17,Arm!$D$5:$D$36)+SUMIF(Rover!$C$5:$C$39,A17,Rover!$D$5:$D$39)+SUMIF(Hexapod!$C$5:$C$35,A17,Hexapod!$D$5:$D$35)</f>
        <v>1</v>
      </c>
      <c r="D17" s="36" t="n">
        <f aca="false">INDEX(Prices!$E$5:$E$82,MATCH(A17,Prices!$A$5:$A$82,0))</f>
        <v>1</v>
      </c>
      <c r="E17" s="4" t="n">
        <f aca="false">IF(C17&lt;=0,0,CEILING(C17/D17,1))</f>
        <v>1</v>
      </c>
      <c r="F17" s="8" t="n">
        <f aca="false">INDEX(Prices!$H$5:$H$82,MATCH(A17,Prices!$A$5:$A$82,0))</f>
        <v>4.95</v>
      </c>
      <c r="G17" s="32" t="n">
        <f aca="false">E17*F17</f>
        <v>4.95</v>
      </c>
      <c r="H17" s="32" t="n">
        <f aca="false">IF(C17&lt;=0,0,IF(ISNUMBER(INDEX(Prices!$L$5:$L$82,MATCH(A17,Prices!$A$5:$A$82,0))),CEILING(C17/INDEX(Prices!$K$5:$K$82,MATCH(A17,Prices!$A$5:$A$82,0)),1)*INDEX(Prices!$L$5:$L$82,MATCH(A17,Prices!$A$5:$A$82,0)),G17))</f>
        <v>4.95</v>
      </c>
    </row>
    <row r="18" customFormat="false" ht="15" hidden="false" customHeight="false" outlineLevel="0" collapsed="false">
      <c r="A18" s="36" t="s">
        <v>129</v>
      </c>
      <c r="B18" s="4" t="s">
        <v>130</v>
      </c>
      <c r="C18" s="4" t="n">
        <f aca="false">SUMIF(Arm!$C$5:$C$36,A18,Arm!$D$5:$D$36)+SUMIF(Rover!$C$5:$C$39,A18,Rover!$D$5:$D$39)+SUMIF(Hexapod!$C$5:$C$35,A18,Hexapod!$D$5:$D$35)</f>
        <v>18</v>
      </c>
      <c r="D18" s="36" t="n">
        <f aca="false">INDEX(Prices!$E$5:$E$82,MATCH(A18,Prices!$A$5:$A$82,0))</f>
        <v>1</v>
      </c>
      <c r="E18" s="4" t="n">
        <f aca="false">IF(C18&lt;=0,0,CEILING(C18/D18,1))</f>
        <v>18</v>
      </c>
      <c r="F18" s="8" t="n">
        <f aca="false">INDEX(Prices!$H$5:$H$82,MATCH(A18,Prices!$A$5:$A$82,0))</f>
        <v>0.95</v>
      </c>
      <c r="G18" s="32" t="n">
        <f aca="false">E18*F18</f>
        <v>17.1</v>
      </c>
      <c r="H18" s="32" t="n">
        <f aca="false">IF(C18&lt;=0,0,IF(ISNUMBER(INDEX(Prices!$L$5:$L$82,MATCH(A18,Prices!$A$5:$A$82,0))),CEILING(C18/INDEX(Prices!$K$5:$K$82,MATCH(A18,Prices!$A$5:$A$82,0)),1)*INDEX(Prices!$L$5:$L$82,MATCH(A18,Prices!$A$5:$A$82,0)),G18))</f>
        <v>17.1</v>
      </c>
    </row>
    <row r="19" customFormat="false" ht="15" hidden="false" customHeight="false" outlineLevel="0" collapsed="false">
      <c r="A19" s="36" t="s">
        <v>140</v>
      </c>
      <c r="B19" s="4" t="s">
        <v>141</v>
      </c>
      <c r="C19" s="4" t="n">
        <f aca="false">SUMIF(Arm!$C$5:$C$36,A19,Arm!$D$5:$D$36)+SUMIF(Rover!$C$5:$C$39,A19,Rover!$D$5:$D$39)+SUMIF(Hexapod!$C$5:$C$35,A19,Hexapod!$D$5:$D$35)</f>
        <v>3</v>
      </c>
      <c r="D19" s="36" t="n">
        <f aca="false">INDEX(Prices!$E$5:$E$82,MATCH(A19,Prices!$A$5:$A$82,0))</f>
        <v>1</v>
      </c>
      <c r="E19" s="4" t="n">
        <f aca="false">IF(C19&lt;=0,0,CEILING(C19/D19,1))</f>
        <v>3</v>
      </c>
      <c r="F19" s="8" t="n">
        <f aca="false">INDEX(Prices!$H$5:$H$82,MATCH(A19,Prices!$A$5:$A$82,0))</f>
        <v>9.86</v>
      </c>
      <c r="G19" s="32" t="n">
        <f aca="false">E19*F19</f>
        <v>29.58</v>
      </c>
      <c r="H19" s="32" t="n">
        <f aca="false">IF(C19&lt;=0,0,IF(ISNUMBER(INDEX(Prices!$L$5:$L$82,MATCH(A19,Prices!$A$5:$A$82,0))),CEILING(C19/INDEX(Prices!$K$5:$K$82,MATCH(A19,Prices!$A$5:$A$82,0)),1)*INDEX(Prices!$L$5:$L$82,MATCH(A19,Prices!$A$5:$A$82,0)),G19))</f>
        <v>29.58</v>
      </c>
    </row>
    <row r="20" customFormat="false" ht="15" hidden="false" customHeight="false" outlineLevel="0" collapsed="false">
      <c r="A20" s="36" t="s">
        <v>146</v>
      </c>
      <c r="B20" s="4" t="s">
        <v>147</v>
      </c>
      <c r="C20" s="4" t="n">
        <f aca="false">SUMIF(Arm!$C$5:$C$36,A20,Arm!$D$5:$D$36)+SUMIF(Rover!$C$5:$C$39,A20,Rover!$D$5:$D$39)+SUMIF(Hexapod!$C$5:$C$35,A20,Hexapod!$D$5:$D$35)</f>
        <v>1</v>
      </c>
      <c r="D20" s="36" t="n">
        <f aca="false">INDEX(Prices!$E$5:$E$82,MATCH(A20,Prices!$A$5:$A$82,0))</f>
        <v>1</v>
      </c>
      <c r="E20" s="4" t="n">
        <f aca="false">IF(C20&lt;=0,0,CEILING(C20/D20,1))</f>
        <v>1</v>
      </c>
      <c r="F20" s="8" t="n">
        <f aca="false">INDEX(Prices!$H$5:$H$82,MATCH(A20,Prices!$A$5:$A$82,0))</f>
        <v>12</v>
      </c>
      <c r="G20" s="32" t="n">
        <f aca="false">E20*F20</f>
        <v>12</v>
      </c>
      <c r="H20" s="32" t="n">
        <f aca="false">IF(C20&lt;=0,0,IF(ISNUMBER(INDEX(Prices!$L$5:$L$82,MATCH(A20,Prices!$A$5:$A$82,0))),CEILING(C20/INDEX(Prices!$K$5:$K$82,MATCH(A20,Prices!$A$5:$A$82,0)),1)*INDEX(Prices!$L$5:$L$82,MATCH(A20,Prices!$A$5:$A$82,0)),G20))</f>
        <v>12</v>
      </c>
    </row>
    <row r="21" customFormat="false" ht="15" hidden="false" customHeight="false" outlineLevel="0" collapsed="false">
      <c r="A21" s="36" t="s">
        <v>152</v>
      </c>
      <c r="B21" s="4" t="s">
        <v>153</v>
      </c>
      <c r="C21" s="4" t="n">
        <f aca="false">SUMIF(Arm!$C$5:$C$36,A21,Arm!$D$5:$D$36)+SUMIF(Rover!$C$5:$C$39,A21,Rover!$D$5:$D$39)+SUMIF(Hexapod!$C$5:$C$35,A21,Hexapod!$D$5:$D$35)</f>
        <v>2</v>
      </c>
      <c r="D21" s="36" t="n">
        <f aca="false">INDEX(Prices!$E$5:$E$82,MATCH(A21,Prices!$A$5:$A$82,0))</f>
        <v>2</v>
      </c>
      <c r="E21" s="4" t="n">
        <f aca="false">IF(C21&lt;=0,0,CEILING(C21/D21,1))</f>
        <v>1</v>
      </c>
      <c r="F21" s="8" t="n">
        <f aca="false">INDEX(Prices!$H$5:$H$82,MATCH(A21,Prices!$A$5:$A$82,0))</f>
        <v>13.89</v>
      </c>
      <c r="G21" s="32" t="n">
        <f aca="false">E21*F21</f>
        <v>13.89</v>
      </c>
      <c r="H21" s="32" t="n">
        <f aca="false">IF(C21&lt;=0,0,IF(ISNUMBER(INDEX(Prices!$L$5:$L$82,MATCH(A21,Prices!$A$5:$A$82,0))),CEILING(C21/INDEX(Prices!$K$5:$K$82,MATCH(A21,Prices!$A$5:$A$82,0)),1)*INDEX(Prices!$L$5:$L$82,MATCH(A21,Prices!$A$5:$A$82,0)),G21))</f>
        <v>13.89</v>
      </c>
    </row>
    <row r="22" customFormat="false" ht="15" hidden="false" customHeight="false" outlineLevel="0" collapsed="false">
      <c r="A22" s="36" t="s">
        <v>163</v>
      </c>
      <c r="B22" s="4" t="s">
        <v>164</v>
      </c>
      <c r="C22" s="4" t="n">
        <f aca="false">SUMIF(Arm!$C$5:$C$36,A22,Arm!$D$5:$D$36)+SUMIF(Rover!$C$5:$C$39,A22,Rover!$D$5:$D$39)+SUMIF(Hexapod!$C$5:$C$35,A22,Hexapod!$D$5:$D$35)</f>
        <v>1</v>
      </c>
      <c r="D22" s="36" t="n">
        <f aca="false">INDEX(Prices!$E$5:$E$82,MATCH(A22,Prices!$A$5:$A$82,0))</f>
        <v>1</v>
      </c>
      <c r="E22" s="4" t="n">
        <f aca="false">IF(C22&lt;=0,0,CEILING(C22/D22,1))</f>
        <v>1</v>
      </c>
      <c r="F22" s="8" t="n">
        <f aca="false">INDEX(Prices!$H$5:$H$82,MATCH(A22,Prices!$A$5:$A$82,0))</f>
        <v>4.93</v>
      </c>
      <c r="G22" s="32" t="n">
        <f aca="false">E22*F22</f>
        <v>4.93</v>
      </c>
      <c r="H22" s="32" t="n">
        <f aca="false">IF(C22&lt;=0,0,IF(ISNUMBER(INDEX(Prices!$L$5:$L$82,MATCH(A22,Prices!$A$5:$A$82,0))),CEILING(C22/INDEX(Prices!$K$5:$K$82,MATCH(A22,Prices!$A$5:$A$82,0)),1)*INDEX(Prices!$L$5:$L$82,MATCH(A22,Prices!$A$5:$A$82,0)),G22))</f>
        <v>4.93</v>
      </c>
    </row>
    <row r="23" customFormat="false" ht="15" hidden="false" customHeight="false" outlineLevel="0" collapsed="false">
      <c r="A23" s="36" t="s">
        <v>169</v>
      </c>
      <c r="B23" s="4" t="s">
        <v>170</v>
      </c>
      <c r="C23" s="4" t="n">
        <f aca="false">SUMIF(Arm!$C$5:$C$36,A23,Arm!$D$5:$D$36)+SUMIF(Rover!$C$5:$C$39,A23,Rover!$D$5:$D$39)+SUMIF(Hexapod!$C$5:$C$35,A23,Hexapod!$D$5:$D$35)</f>
        <v>0.3</v>
      </c>
      <c r="D23" s="36" t="n">
        <f aca="false">INDEX(Prices!$E$5:$E$82,MATCH(A23,Prices!$A$5:$A$82,0))</f>
        <v>1</v>
      </c>
      <c r="E23" s="4" t="n">
        <f aca="false">IF(C23&lt;=0,0,CEILING(C23/D23,1))</f>
        <v>1</v>
      </c>
      <c r="F23" s="8" t="n">
        <f aca="false">INDEX(Prices!$H$5:$H$82,MATCH(A23,Prices!$A$5:$A$82,0))</f>
        <v>12.84</v>
      </c>
      <c r="G23" s="32" t="n">
        <f aca="false">E23*F23</f>
        <v>12.84</v>
      </c>
      <c r="H23" s="32" t="n">
        <f aca="false">IF(C23&lt;=0,0,IF(ISNUMBER(INDEX(Prices!$L$5:$L$82,MATCH(A23,Prices!$A$5:$A$82,0))),CEILING(C23/INDEX(Prices!$K$5:$K$82,MATCH(A23,Prices!$A$5:$A$82,0)),1)*INDEX(Prices!$L$5:$L$82,MATCH(A23,Prices!$A$5:$A$82,0)),G23))</f>
        <v>12.84</v>
      </c>
    </row>
    <row r="24" customFormat="false" ht="15" hidden="false" customHeight="false" outlineLevel="0" collapsed="false">
      <c r="A24" s="36" t="s">
        <v>174</v>
      </c>
      <c r="B24" s="4" t="s">
        <v>175</v>
      </c>
      <c r="C24" s="4" t="n">
        <f aca="false">SUMIF(Arm!$C$5:$C$36,A24,Arm!$D$5:$D$36)+SUMIF(Rover!$C$5:$C$39,A24,Rover!$D$5:$D$39)+SUMIF(Hexapod!$C$5:$C$35,A24,Hexapod!$D$5:$D$35)</f>
        <v>1</v>
      </c>
      <c r="D24" s="36" t="n">
        <f aca="false">INDEX(Prices!$E$5:$E$82,MATCH(A24,Prices!$A$5:$A$82,0))</f>
        <v>1</v>
      </c>
      <c r="E24" s="4" t="n">
        <f aca="false">IF(C24&lt;=0,0,CEILING(C24/D24,1))</f>
        <v>1</v>
      </c>
      <c r="F24" s="8" t="n">
        <f aca="false">INDEX(Prices!$H$5:$H$82,MATCH(A24,Prices!$A$5:$A$82,0))</f>
        <v>1.95</v>
      </c>
      <c r="G24" s="32" t="n">
        <f aca="false">E24*F24</f>
        <v>1.95</v>
      </c>
      <c r="H24" s="32" t="n">
        <f aca="false">IF(C24&lt;=0,0,IF(ISNUMBER(INDEX(Prices!$L$5:$L$82,MATCH(A24,Prices!$A$5:$A$82,0))),CEILING(C24/INDEX(Prices!$K$5:$K$82,MATCH(A24,Prices!$A$5:$A$82,0)),1)*INDEX(Prices!$L$5:$L$82,MATCH(A24,Prices!$A$5:$A$82,0)),G24))</f>
        <v>1.95</v>
      </c>
    </row>
    <row r="25" customFormat="false" ht="15" hidden="false" customHeight="false" outlineLevel="0" collapsed="false">
      <c r="A25" s="36" t="s">
        <v>179</v>
      </c>
      <c r="B25" s="4" t="s">
        <v>180</v>
      </c>
      <c r="C25" s="4" t="n">
        <f aca="false">SUMIF(Arm!$C$5:$C$36,A25,Arm!$D$5:$D$36)+SUMIF(Rover!$C$5:$C$39,A25,Rover!$D$5:$D$39)+SUMIF(Hexapod!$C$5:$C$35,A25,Hexapod!$D$5:$D$35)</f>
        <v>1</v>
      </c>
      <c r="D25" s="36" t="n">
        <f aca="false">INDEX(Prices!$E$5:$E$82,MATCH(A25,Prices!$A$5:$A$82,0))</f>
        <v>2</v>
      </c>
      <c r="E25" s="4" t="n">
        <f aca="false">IF(C25&lt;=0,0,CEILING(C25/D25,1))</f>
        <v>1</v>
      </c>
      <c r="F25" s="8" t="n">
        <f aca="false">INDEX(Prices!$H$5:$H$82,MATCH(A25,Prices!$A$5:$A$82,0))</f>
        <v>7.69</v>
      </c>
      <c r="G25" s="32" t="n">
        <f aca="false">E25*F25</f>
        <v>7.69</v>
      </c>
      <c r="H25" s="32" t="n">
        <f aca="false">IF(C25&lt;=0,0,IF(ISNUMBER(INDEX(Prices!$L$5:$L$82,MATCH(A25,Prices!$A$5:$A$82,0))),CEILING(C25/INDEX(Prices!$K$5:$K$82,MATCH(A25,Prices!$A$5:$A$82,0)),1)*INDEX(Prices!$L$5:$L$82,MATCH(A25,Prices!$A$5:$A$82,0)),G25))</f>
        <v>7.69</v>
      </c>
    </row>
    <row r="26" customFormat="false" ht="15" hidden="false" customHeight="false" outlineLevel="0" collapsed="false">
      <c r="A26" s="36" t="s">
        <v>184</v>
      </c>
      <c r="B26" s="4" t="s">
        <v>185</v>
      </c>
      <c r="C26" s="4" t="n">
        <f aca="false">SUMIF(Arm!$C$5:$C$36,A26,Arm!$D$5:$D$36)+SUMIF(Rover!$C$5:$C$39,A26,Rover!$D$5:$D$39)+SUMIF(Hexapod!$C$5:$C$35,A26,Hexapod!$D$5:$D$35)</f>
        <v>4</v>
      </c>
      <c r="D26" s="36" t="n">
        <f aca="false">INDEX(Prices!$E$5:$E$82,MATCH(A26,Prices!$A$5:$A$82,0))</f>
        <v>1</v>
      </c>
      <c r="E26" s="4" t="n">
        <f aca="false">IF(C26&lt;=0,0,CEILING(C26/D26,1))</f>
        <v>4</v>
      </c>
      <c r="F26" s="8" t="n">
        <f aca="false">INDEX(Prices!$H$5:$H$82,MATCH(A26,Prices!$A$5:$A$82,0))</f>
        <v>0.15</v>
      </c>
      <c r="G26" s="32" t="n">
        <f aca="false">E26*F26</f>
        <v>0.6</v>
      </c>
      <c r="H26" s="32" t="n">
        <f aca="false">IF(C26&lt;=0,0,IF(ISNUMBER(INDEX(Prices!$L$5:$L$82,MATCH(A26,Prices!$A$5:$A$82,0))),CEILING(C26/INDEX(Prices!$K$5:$K$82,MATCH(A26,Prices!$A$5:$A$82,0)),1)*INDEX(Prices!$L$5:$L$82,MATCH(A26,Prices!$A$5:$A$82,0)),G26))</f>
        <v>0.6</v>
      </c>
    </row>
    <row r="27" customFormat="false" ht="15" hidden="false" customHeight="false" outlineLevel="0" collapsed="false">
      <c r="A27" s="36" t="s">
        <v>190</v>
      </c>
      <c r="B27" s="4" t="s">
        <v>191</v>
      </c>
      <c r="C27" s="4" t="n">
        <f aca="false">SUMIF(Arm!$C$5:$C$36,A27,Arm!$D$5:$D$36)+SUMIF(Rover!$C$5:$C$39,A27,Rover!$D$5:$D$39)+SUMIF(Hexapod!$C$5:$C$35,A27,Hexapod!$D$5:$D$35)</f>
        <v>15</v>
      </c>
      <c r="D27" s="36" t="n">
        <f aca="false">INDEX(Prices!$E$5:$E$82,MATCH(A27,Prices!$A$5:$A$82,0))</f>
        <v>40</v>
      </c>
      <c r="E27" s="4" t="n">
        <f aca="false">IF(C27&lt;=0,0,CEILING(C27/D27,1))</f>
        <v>1</v>
      </c>
      <c r="F27" s="8" t="n">
        <f aca="false">INDEX(Prices!$H$5:$H$82,MATCH(A27,Prices!$A$5:$A$82,0))</f>
        <v>5.7</v>
      </c>
      <c r="G27" s="32" t="n">
        <f aca="false">E27*F27</f>
        <v>5.7</v>
      </c>
      <c r="H27" s="32" t="n">
        <f aca="false">IF(C27&lt;=0,0,IF(ISNUMBER(INDEX(Prices!$L$5:$L$82,MATCH(A27,Prices!$A$5:$A$82,0))),CEILING(C27/INDEX(Prices!$K$5:$K$82,MATCH(A27,Prices!$A$5:$A$82,0)),1)*INDEX(Prices!$L$5:$L$82,MATCH(A27,Prices!$A$5:$A$82,0)),G27))</f>
        <v>5.7</v>
      </c>
    </row>
    <row r="28" customFormat="false" ht="15" hidden="false" customHeight="false" outlineLevel="0" collapsed="false">
      <c r="A28" s="36" t="s">
        <v>195</v>
      </c>
      <c r="B28" s="4" t="s">
        <v>196</v>
      </c>
      <c r="C28" s="4" t="n">
        <f aca="false">SUMIF(Arm!$C$5:$C$36,A28,Arm!$D$5:$D$36)+SUMIF(Rover!$C$5:$C$39,A28,Rover!$D$5:$D$39)+SUMIF(Hexapod!$C$5:$C$35,A28,Hexapod!$D$5:$D$35)</f>
        <v>15</v>
      </c>
      <c r="D28" s="36" t="n">
        <f aca="false">INDEX(Prices!$E$5:$E$82,MATCH(A28,Prices!$A$5:$A$82,0))</f>
        <v>40</v>
      </c>
      <c r="E28" s="4" t="n">
        <f aca="false">IF(C28&lt;=0,0,CEILING(C28/D28,1))</f>
        <v>1</v>
      </c>
      <c r="F28" s="8" t="n">
        <f aca="false">INDEX(Prices!$H$5:$H$82,MATCH(A28,Prices!$A$5:$A$82,0))</f>
        <v>5.7</v>
      </c>
      <c r="G28" s="32" t="n">
        <f aca="false">E28*F28</f>
        <v>5.7</v>
      </c>
      <c r="H28" s="32" t="n">
        <f aca="false">IF(C28&lt;=0,0,IF(ISNUMBER(INDEX(Prices!$L$5:$L$82,MATCH(A28,Prices!$A$5:$A$82,0))),CEILING(C28/INDEX(Prices!$K$5:$K$82,MATCH(A28,Prices!$A$5:$A$82,0)),1)*INDEX(Prices!$L$5:$L$82,MATCH(A28,Prices!$A$5:$A$82,0)),G28))</f>
        <v>5.7</v>
      </c>
    </row>
    <row r="29" customFormat="false" ht="15" hidden="false" customHeight="false" outlineLevel="0" collapsed="false">
      <c r="A29" s="36" t="s">
        <v>205</v>
      </c>
      <c r="B29" s="4" t="s">
        <v>206</v>
      </c>
      <c r="C29" s="4" t="n">
        <f aca="false">SUMIF(Arm!$C$5:$C$36,A29,Arm!$D$5:$D$36)+SUMIF(Rover!$C$5:$C$39,A29,Rover!$D$5:$D$39)+SUMIF(Hexapod!$C$5:$C$35,A29,Hexapod!$D$5:$D$35)</f>
        <v>1</v>
      </c>
      <c r="D29" s="36" t="n">
        <f aca="false">INDEX(Prices!$E$5:$E$82,MATCH(A29,Prices!$A$5:$A$82,0))</f>
        <v>1</v>
      </c>
      <c r="E29" s="4" t="n">
        <f aca="false">IF(C29&lt;=0,0,CEILING(C29/D29,1))</f>
        <v>1</v>
      </c>
      <c r="F29" s="8" t="n">
        <f aca="false">INDEX(Prices!$H$5:$H$82,MATCH(A29,Prices!$A$5:$A$82,0))</f>
        <v>15.966013</v>
      </c>
      <c r="G29" s="32" t="n">
        <f aca="false">E29*F29</f>
        <v>15.966013</v>
      </c>
      <c r="H29" s="32" t="n">
        <f aca="false">IF(C29&lt;=0,0,IF(ISNUMBER(INDEX(Prices!$L$5:$L$82,MATCH(A29,Prices!$A$5:$A$82,0))),CEILING(C29/INDEX(Prices!$K$5:$K$82,MATCH(A29,Prices!$A$5:$A$82,0)),1)*INDEX(Prices!$L$5:$L$82,MATCH(A29,Prices!$A$5:$A$82,0)),G29))</f>
        <v>15.966013</v>
      </c>
    </row>
    <row r="30" customFormat="false" ht="15" hidden="false" customHeight="false" outlineLevel="0" collapsed="false">
      <c r="A30" s="36" t="s">
        <v>212</v>
      </c>
      <c r="B30" s="4" t="s">
        <v>213</v>
      </c>
      <c r="C30" s="4" t="n">
        <f aca="false">SUMIF(Arm!$C$5:$C$36,A30,Arm!$D$5:$D$36)+SUMIF(Rover!$C$5:$C$39,A30,Rover!$D$5:$D$39)+SUMIF(Hexapod!$C$5:$C$35,A30,Hexapod!$D$5:$D$35)</f>
        <v>1</v>
      </c>
      <c r="D30" s="36" t="n">
        <f aca="false">INDEX(Prices!$E$5:$E$82,MATCH(A30,Prices!$A$5:$A$82,0))</f>
        <v>1</v>
      </c>
      <c r="E30" s="4" t="n">
        <f aca="false">IF(C30&lt;=0,0,CEILING(C30/D30,1))</f>
        <v>1</v>
      </c>
      <c r="F30" s="8" t="n">
        <f aca="false">INDEX(Prices!$H$5:$H$82,MATCH(A30,Prices!$A$5:$A$82,0))</f>
        <v>5.387305</v>
      </c>
      <c r="G30" s="32" t="n">
        <f aca="false">E30*F30</f>
        <v>5.387305</v>
      </c>
      <c r="H30" s="32" t="n">
        <f aca="false">IF(C30&lt;=0,0,IF(ISNUMBER(INDEX(Prices!$L$5:$L$82,MATCH(A30,Prices!$A$5:$A$82,0))),CEILING(C30/INDEX(Prices!$K$5:$K$82,MATCH(A30,Prices!$A$5:$A$82,0)),1)*INDEX(Prices!$L$5:$L$82,MATCH(A30,Prices!$A$5:$A$82,0)),G30))</f>
        <v>5.387305</v>
      </c>
    </row>
    <row r="31" customFormat="false" ht="15" hidden="false" customHeight="false" outlineLevel="0" collapsed="false">
      <c r="A31" s="36" t="s">
        <v>217</v>
      </c>
      <c r="B31" s="4" t="s">
        <v>218</v>
      </c>
      <c r="C31" s="4" t="n">
        <f aca="false">SUMIF(Arm!$C$5:$C$36,A31,Arm!$D$5:$D$36)+SUMIF(Rover!$C$5:$C$39,A31,Rover!$D$5:$D$39)+SUMIF(Hexapod!$C$5:$C$35,A31,Hexapod!$D$5:$D$35)</f>
        <v>1</v>
      </c>
      <c r="D31" s="36" t="n">
        <f aca="false">INDEX(Prices!$E$5:$E$82,MATCH(A31,Prices!$A$5:$A$82,0))</f>
        <v>1</v>
      </c>
      <c r="E31" s="4" t="n">
        <f aca="false">IF(C31&lt;=0,0,CEILING(C31/D31,1))</f>
        <v>1</v>
      </c>
      <c r="F31" s="8" t="n">
        <f aca="false">INDEX(Prices!$H$5:$H$82,MATCH(A31,Prices!$A$5:$A$82,0))</f>
        <v>14.97251</v>
      </c>
      <c r="G31" s="32" t="n">
        <f aca="false">E31*F31</f>
        <v>14.97251</v>
      </c>
      <c r="H31" s="32" t="n">
        <f aca="false">IF(C31&lt;=0,0,IF(ISNUMBER(INDEX(Prices!$L$5:$L$82,MATCH(A31,Prices!$A$5:$A$82,0))),CEILING(C31/INDEX(Prices!$K$5:$K$82,MATCH(A31,Prices!$A$5:$A$82,0)),1)*INDEX(Prices!$L$5:$L$82,MATCH(A31,Prices!$A$5:$A$82,0)),G31))</f>
        <v>14.97251</v>
      </c>
    </row>
    <row r="32" customFormat="false" ht="15" hidden="false" customHeight="false" outlineLevel="0" collapsed="false">
      <c r="A32" s="36" t="s">
        <v>222</v>
      </c>
      <c r="B32" s="4" t="s">
        <v>223</v>
      </c>
      <c r="C32" s="4" t="n">
        <f aca="false">SUMIF(Arm!$C$5:$C$36,A32,Arm!$D$5:$D$36)+SUMIF(Rover!$C$5:$C$39,A32,Rover!$D$5:$D$39)+SUMIF(Hexapod!$C$5:$C$35,A32,Hexapod!$D$5:$D$35)</f>
        <v>1</v>
      </c>
      <c r="D32" s="36" t="n">
        <f aca="false">INDEX(Prices!$E$5:$E$82,MATCH(A32,Prices!$A$5:$A$82,0))</f>
        <v>1</v>
      </c>
      <c r="E32" s="4" t="n">
        <f aca="false">IF(C32&lt;=0,0,CEILING(C32/D32,1))</f>
        <v>1</v>
      </c>
      <c r="F32" s="8" t="n">
        <f aca="false">INDEX(Prices!$H$5:$H$82,MATCH(A32,Prices!$A$5:$A$82,0))</f>
        <v>28.57</v>
      </c>
      <c r="G32" s="32" t="n">
        <f aca="false">E32*F32</f>
        <v>28.57</v>
      </c>
      <c r="H32" s="32" t="n">
        <f aca="false">IF(C32&lt;=0,0,IF(ISNUMBER(INDEX(Prices!$L$5:$L$82,MATCH(A32,Prices!$A$5:$A$82,0))),CEILING(C32/INDEX(Prices!$K$5:$K$82,MATCH(A32,Prices!$A$5:$A$82,0)),1)*INDEX(Prices!$L$5:$L$82,MATCH(A32,Prices!$A$5:$A$82,0)),G32))</f>
        <v>28.57</v>
      </c>
    </row>
    <row r="33" customFormat="false" ht="15" hidden="false" customHeight="false" outlineLevel="0" collapsed="false">
      <c r="A33" s="36" t="s">
        <v>227</v>
      </c>
      <c r="B33" s="4" t="s">
        <v>228</v>
      </c>
      <c r="C33" s="4" t="n">
        <f aca="false">SUMIF(Arm!$C$5:$C$36,A33,Arm!$D$5:$D$36)+SUMIF(Rover!$C$5:$C$39,A33,Rover!$D$5:$D$39)+SUMIF(Hexapod!$C$5:$C$35,A33,Hexapod!$D$5:$D$35)</f>
        <v>18</v>
      </c>
      <c r="D33" s="36" t="n">
        <f aca="false">INDEX(Prices!$E$5:$E$82,MATCH(A33,Prices!$A$5:$A$82,0))</f>
        <v>50</v>
      </c>
      <c r="E33" s="4" t="n">
        <f aca="false">IF(C33&lt;=0,0,CEILING(C33/D33,1))</f>
        <v>1</v>
      </c>
      <c r="F33" s="8" t="n">
        <f aca="false">INDEX(Prices!$H$5:$H$82,MATCH(A33,Prices!$A$5:$A$82,0))</f>
        <v>38.06</v>
      </c>
      <c r="G33" s="32" t="n">
        <f aca="false">E33*F33</f>
        <v>38.06</v>
      </c>
      <c r="H33" s="32" t="n">
        <f aca="false">IF(C33&lt;=0,0,IF(ISNUMBER(INDEX(Prices!$L$5:$L$82,MATCH(A33,Prices!$A$5:$A$82,0))),CEILING(C33/INDEX(Prices!$K$5:$K$82,MATCH(A33,Prices!$A$5:$A$82,0)),1)*INDEX(Prices!$L$5:$L$82,MATCH(A33,Prices!$A$5:$A$82,0)),G33))</f>
        <v>7</v>
      </c>
    </row>
    <row r="34" customFormat="false" ht="15" hidden="false" customHeight="false" outlineLevel="0" collapsed="false">
      <c r="A34" s="36" t="s">
        <v>234</v>
      </c>
      <c r="B34" s="4" t="s">
        <v>235</v>
      </c>
      <c r="C34" s="4" t="n">
        <f aca="false">SUMIF(Arm!$C$5:$C$36,A34,Arm!$D$5:$D$36)+SUMIF(Rover!$C$5:$C$39,A34,Rover!$D$5:$D$39)+SUMIF(Hexapod!$C$5:$C$35,A34,Hexapod!$D$5:$D$35)</f>
        <v>8</v>
      </c>
      <c r="D34" s="36" t="n">
        <f aca="false">INDEX(Prices!$E$5:$E$82,MATCH(A34,Prices!$A$5:$A$82,0))</f>
        <v>10</v>
      </c>
      <c r="E34" s="4" t="n">
        <f aca="false">IF(C34&lt;=0,0,CEILING(C34/D34,1))</f>
        <v>1</v>
      </c>
      <c r="F34" s="8" t="n">
        <f aca="false">INDEX(Prices!$H$5:$H$82,MATCH(A34,Prices!$A$5:$A$82,0))</f>
        <v>1.49</v>
      </c>
      <c r="G34" s="32" t="n">
        <f aca="false">E34*F34</f>
        <v>1.49</v>
      </c>
      <c r="H34" s="32" t="n">
        <f aca="false">IF(C34&lt;=0,0,IF(ISNUMBER(INDEX(Prices!$L$5:$L$82,MATCH(A34,Prices!$A$5:$A$82,0))),CEILING(C34/INDEX(Prices!$K$5:$K$82,MATCH(A34,Prices!$A$5:$A$82,0)),1)*INDEX(Prices!$L$5:$L$82,MATCH(A34,Prices!$A$5:$A$82,0)),G34))</f>
        <v>1.49</v>
      </c>
    </row>
    <row r="35" customFormat="false" ht="15" hidden="false" customHeight="false" outlineLevel="0" collapsed="false">
      <c r="A35" s="36" t="s">
        <v>239</v>
      </c>
      <c r="B35" s="4" t="s">
        <v>240</v>
      </c>
      <c r="C35" s="4" t="n">
        <f aca="false">SUMIF(Arm!$C$5:$C$36,A35,Arm!$D$5:$D$36)+SUMIF(Rover!$C$5:$C$39,A35,Rover!$D$5:$D$39)+SUMIF(Hexapod!$C$5:$C$35,A35,Hexapod!$D$5:$D$35)</f>
        <v>32</v>
      </c>
      <c r="D35" s="36" t="n">
        <f aca="false">INDEX(Prices!$E$5:$E$82,MATCH(A35,Prices!$A$5:$A$82,0))</f>
        <v>20</v>
      </c>
      <c r="E35" s="4" t="n">
        <f aca="false">IF(C35&lt;=0,0,CEILING(C35/D35,1))</f>
        <v>2</v>
      </c>
      <c r="F35" s="8" t="n">
        <f aca="false">INDEX(Prices!$H$5:$H$82,MATCH(A35,Prices!$A$5:$A$82,0))</f>
        <v>2.95</v>
      </c>
      <c r="G35" s="32" t="n">
        <f aca="false">E35*F35</f>
        <v>5.9</v>
      </c>
      <c r="H35" s="32" t="n">
        <f aca="false">IF(C35&lt;=0,0,IF(ISNUMBER(INDEX(Prices!$L$5:$L$82,MATCH(A35,Prices!$A$5:$A$82,0))),CEILING(C35/INDEX(Prices!$K$5:$K$82,MATCH(A35,Prices!$A$5:$A$82,0)),1)*INDEX(Prices!$L$5:$L$82,MATCH(A35,Prices!$A$5:$A$82,0)),G35))</f>
        <v>5.9</v>
      </c>
    </row>
    <row r="36" customFormat="false" ht="15" hidden="false" customHeight="false" outlineLevel="0" collapsed="false">
      <c r="A36" s="36" t="s">
        <v>244</v>
      </c>
      <c r="B36" s="4" t="s">
        <v>245</v>
      </c>
      <c r="C36" s="4" t="n">
        <f aca="false">SUMIF(Arm!$C$5:$C$36,A36,Arm!$D$5:$D$36)+SUMIF(Rover!$C$5:$C$39,A36,Rover!$D$5:$D$39)+SUMIF(Hexapod!$C$5:$C$35,A36,Hexapod!$D$5:$D$35)</f>
        <v>12</v>
      </c>
      <c r="D36" s="36" t="n">
        <f aca="false">INDEX(Prices!$E$5:$E$82,MATCH(A36,Prices!$A$5:$A$82,0))</f>
        <v>1</v>
      </c>
      <c r="E36" s="4" t="n">
        <f aca="false">IF(C36&lt;=0,0,CEILING(C36/D36,1))</f>
        <v>12</v>
      </c>
      <c r="F36" s="8" t="n">
        <f aca="false">INDEX(Prices!$H$5:$H$82,MATCH(A36,Prices!$A$5:$A$82,0))</f>
        <v>0.35</v>
      </c>
      <c r="G36" s="32" t="n">
        <f aca="false">E36*F36</f>
        <v>4.2</v>
      </c>
      <c r="H36" s="32" t="n">
        <f aca="false">IF(C36&lt;=0,0,IF(ISNUMBER(INDEX(Prices!$L$5:$L$82,MATCH(A36,Prices!$A$5:$A$82,0))),CEILING(C36/INDEX(Prices!$K$5:$K$82,MATCH(A36,Prices!$A$5:$A$82,0)),1)*INDEX(Prices!$L$5:$L$82,MATCH(A36,Prices!$A$5:$A$82,0)),G36))</f>
        <v>4.2</v>
      </c>
    </row>
    <row r="37" customFormat="false" ht="15" hidden="false" customHeight="false" outlineLevel="0" collapsed="false">
      <c r="A37" s="36" t="s">
        <v>249</v>
      </c>
      <c r="B37" s="4" t="s">
        <v>250</v>
      </c>
      <c r="C37" s="4" t="n">
        <f aca="false">SUMIF(Arm!$C$5:$C$36,A37,Arm!$D$5:$D$36)+SUMIF(Rover!$C$5:$C$39,A37,Rover!$D$5:$D$39)+SUMIF(Hexapod!$C$5:$C$35,A37,Hexapod!$D$5:$D$35)</f>
        <v>38</v>
      </c>
      <c r="D37" s="36" t="n">
        <f aca="false">INDEX(Prices!$E$5:$E$82,MATCH(A37,Prices!$A$5:$A$82,0))</f>
        <v>10</v>
      </c>
      <c r="E37" s="4" t="n">
        <f aca="false">IF(C37&lt;=0,0,CEILING(C37/D37,1))</f>
        <v>4</v>
      </c>
      <c r="F37" s="8" t="n">
        <f aca="false">INDEX(Prices!$H$5:$H$82,MATCH(A37,Prices!$A$5:$A$82,0))</f>
        <v>0.95</v>
      </c>
      <c r="G37" s="32" t="n">
        <f aca="false">E37*F37</f>
        <v>3.8</v>
      </c>
      <c r="H37" s="32" t="n">
        <f aca="false">IF(C37&lt;=0,0,IF(ISNUMBER(INDEX(Prices!$L$5:$L$82,MATCH(A37,Prices!$A$5:$A$82,0))),CEILING(C37/INDEX(Prices!$K$5:$K$82,MATCH(A37,Prices!$A$5:$A$82,0)),1)*INDEX(Prices!$L$5:$L$82,MATCH(A37,Prices!$A$5:$A$82,0)),G37))</f>
        <v>4</v>
      </c>
    </row>
    <row r="38" customFormat="false" ht="15" hidden="false" customHeight="false" outlineLevel="0" collapsed="false">
      <c r="A38" s="36" t="s">
        <v>255</v>
      </c>
      <c r="B38" s="4" t="s">
        <v>256</v>
      </c>
      <c r="C38" s="4" t="n">
        <f aca="false">SUMIF(Arm!$C$5:$C$36,A38,Arm!$D$5:$D$36)+SUMIF(Rover!$C$5:$C$39,A38,Rover!$D$5:$D$39)+SUMIF(Hexapod!$C$5:$C$35,A38,Hexapod!$D$5:$D$35)</f>
        <v>2</v>
      </c>
      <c r="D38" s="36" t="n">
        <f aca="false">INDEX(Prices!$E$5:$E$82,MATCH(A38,Prices!$A$5:$A$82,0))</f>
        <v>10</v>
      </c>
      <c r="E38" s="4" t="n">
        <f aca="false">IF(C38&lt;=0,0,CEILING(C38/D38,1))</f>
        <v>1</v>
      </c>
      <c r="F38" s="8" t="n">
        <f aca="false">INDEX(Prices!$H$5:$H$82,MATCH(A38,Prices!$A$5:$A$82,0))</f>
        <v>11</v>
      </c>
      <c r="G38" s="32" t="n">
        <f aca="false">E38*F38</f>
        <v>11</v>
      </c>
      <c r="H38" s="32" t="n">
        <f aca="false">IF(C38&lt;=0,0,IF(ISNUMBER(INDEX(Prices!$L$5:$L$82,MATCH(A38,Prices!$A$5:$A$82,0))),CEILING(C38/INDEX(Prices!$K$5:$K$82,MATCH(A38,Prices!$A$5:$A$82,0)),1)*INDEX(Prices!$L$5:$L$82,MATCH(A38,Prices!$A$5:$A$82,0)),G38))</f>
        <v>11</v>
      </c>
    </row>
    <row r="39" customFormat="false" ht="15" hidden="false" customHeight="false" outlineLevel="0" collapsed="false">
      <c r="A39" s="36" t="s">
        <v>261</v>
      </c>
      <c r="B39" s="4" t="s">
        <v>262</v>
      </c>
      <c r="C39" s="4" t="n">
        <f aca="false">SUMIF(Arm!$C$5:$C$36,A39,Arm!$D$5:$D$36)+SUMIF(Rover!$C$5:$C$39,A39,Rover!$D$5:$D$39)+SUMIF(Hexapod!$C$5:$C$35,A39,Hexapod!$D$5:$D$35)</f>
        <v>4</v>
      </c>
      <c r="D39" s="36" t="n">
        <f aca="false">INDEX(Prices!$E$5:$E$82,MATCH(A39,Prices!$A$5:$A$82,0))</f>
        <v>10</v>
      </c>
      <c r="E39" s="4" t="n">
        <f aca="false">IF(C39&lt;=0,0,CEILING(C39/D39,1))</f>
        <v>1</v>
      </c>
      <c r="F39" s="8" t="n">
        <f aca="false">INDEX(Prices!$H$5:$H$82,MATCH(A39,Prices!$A$5:$A$82,0))</f>
        <v>12</v>
      </c>
      <c r="G39" s="32" t="n">
        <f aca="false">E39*F39</f>
        <v>12</v>
      </c>
      <c r="H39" s="32" t="n">
        <f aca="false">IF(C39&lt;=0,0,IF(ISNUMBER(INDEX(Prices!$L$5:$L$82,MATCH(A39,Prices!$A$5:$A$82,0))),CEILING(C39/INDEX(Prices!$K$5:$K$82,MATCH(A39,Prices!$A$5:$A$82,0)),1)*INDEX(Prices!$L$5:$L$82,MATCH(A39,Prices!$A$5:$A$82,0)),G39))</f>
        <v>12</v>
      </c>
    </row>
    <row r="40" customFormat="false" ht="15" hidden="false" customHeight="false" outlineLevel="0" collapsed="false">
      <c r="A40" s="36" t="s">
        <v>265</v>
      </c>
      <c r="B40" s="4" t="s">
        <v>266</v>
      </c>
      <c r="C40" s="4" t="n">
        <f aca="false">SUMIF(Arm!$C$5:$C$36,A40,Arm!$D$5:$D$36)+SUMIF(Rover!$C$5:$C$39,A40,Rover!$D$5:$D$39)+SUMIF(Hexapod!$C$5:$C$35,A40,Hexapod!$D$5:$D$35)</f>
        <v>6</v>
      </c>
      <c r="D40" s="36" t="n">
        <f aca="false">INDEX(Prices!$E$5:$E$82,MATCH(A40,Prices!$A$5:$A$82,0))</f>
        <v>1</v>
      </c>
      <c r="E40" s="4" t="n">
        <f aca="false">IF(C40&lt;=0,0,CEILING(C40/D40,1))</f>
        <v>6</v>
      </c>
      <c r="F40" s="8" t="n">
        <f aca="false">INDEX(Prices!$H$5:$H$82,MATCH(A40,Prices!$A$5:$A$82,0))</f>
        <v>0.3</v>
      </c>
      <c r="G40" s="32" t="n">
        <f aca="false">E40*F40</f>
        <v>1.8</v>
      </c>
      <c r="H40" s="32" t="n">
        <f aca="false">IF(C40&lt;=0,0,IF(ISNUMBER(INDEX(Prices!$L$5:$L$82,MATCH(A40,Prices!$A$5:$A$82,0))),CEILING(C40/INDEX(Prices!$K$5:$K$82,MATCH(A40,Prices!$A$5:$A$82,0)),1)*INDEX(Prices!$L$5:$L$82,MATCH(A40,Prices!$A$5:$A$82,0)),G40))</f>
        <v>3</v>
      </c>
    </row>
    <row r="41" customFormat="false" ht="15" hidden="false" customHeight="false" outlineLevel="0" collapsed="false">
      <c r="A41" s="36" t="s">
        <v>272</v>
      </c>
      <c r="B41" s="4" t="s">
        <v>273</v>
      </c>
      <c r="C41" s="4" t="n">
        <f aca="false">SUMIF(Arm!$C$5:$C$36,A41,Arm!$D$5:$D$36)+SUMIF(Rover!$C$5:$C$39,A41,Rover!$D$5:$D$39)+SUMIF(Hexapod!$C$5:$C$35,A41,Hexapod!$D$5:$D$35)</f>
        <v>6</v>
      </c>
      <c r="D41" s="36" t="n">
        <f aca="false">INDEX(Prices!$E$5:$E$82,MATCH(A41,Prices!$A$5:$A$82,0))</f>
        <v>10</v>
      </c>
      <c r="E41" s="4" t="n">
        <f aca="false">IF(C41&lt;=0,0,CEILING(C41/D41,1))</f>
        <v>1</v>
      </c>
      <c r="F41" s="8" t="n">
        <f aca="false">INDEX(Prices!$H$5:$H$82,MATCH(A41,Prices!$A$5:$A$82,0))</f>
        <v>0.95</v>
      </c>
      <c r="G41" s="32" t="n">
        <f aca="false">E41*F41</f>
        <v>0.95</v>
      </c>
      <c r="H41" s="32" t="n">
        <f aca="false">IF(C41&lt;=0,0,IF(ISNUMBER(INDEX(Prices!$L$5:$L$82,MATCH(A41,Prices!$A$5:$A$82,0))),CEILING(C41/INDEX(Prices!$K$5:$K$82,MATCH(A41,Prices!$A$5:$A$82,0)),1)*INDEX(Prices!$L$5:$L$82,MATCH(A41,Prices!$A$5:$A$82,0)),G41))</f>
        <v>0.95</v>
      </c>
    </row>
    <row r="42" customFormat="false" ht="15" hidden="false" customHeight="false" outlineLevel="0" collapsed="false">
      <c r="A42" s="36" t="s">
        <v>277</v>
      </c>
      <c r="B42" s="4" t="s">
        <v>278</v>
      </c>
      <c r="C42" s="4" t="n">
        <f aca="false">SUMIF(Arm!$C$5:$C$36,A42,Arm!$D$5:$D$36)+SUMIF(Rover!$C$5:$C$39,A42,Rover!$D$5:$D$39)+SUMIF(Hexapod!$C$5:$C$35,A42,Hexapod!$D$5:$D$35)</f>
        <v>2</v>
      </c>
      <c r="D42" s="36" t="n">
        <f aca="false">INDEX(Prices!$E$5:$E$82,MATCH(A42,Prices!$A$5:$A$82,0))</f>
        <v>1</v>
      </c>
      <c r="E42" s="4" t="n">
        <f aca="false">IF(C42&lt;=0,0,CEILING(C42/D42,1))</f>
        <v>2</v>
      </c>
      <c r="F42" s="8" t="n">
        <f aca="false">INDEX(Prices!$H$5:$H$82,MATCH(A42,Prices!$A$5:$A$82,0))</f>
        <v>0.15</v>
      </c>
      <c r="G42" s="32" t="n">
        <f aca="false">E42*F42</f>
        <v>0.3</v>
      </c>
      <c r="H42" s="32" t="n">
        <f aca="false">IF(C42&lt;=0,0,IF(ISNUMBER(INDEX(Prices!$L$5:$L$82,MATCH(A42,Prices!$A$5:$A$82,0))),CEILING(C42/INDEX(Prices!$K$5:$K$82,MATCH(A42,Prices!$A$5:$A$82,0)),1)*INDEX(Prices!$L$5:$L$82,MATCH(A42,Prices!$A$5:$A$82,0)),G42))</f>
        <v>0.3</v>
      </c>
    </row>
    <row r="43" customFormat="false" ht="15" hidden="false" customHeight="false" outlineLevel="0" collapsed="false">
      <c r="A43" s="36" t="s">
        <v>282</v>
      </c>
      <c r="B43" s="4" t="s">
        <v>283</v>
      </c>
      <c r="C43" s="4" t="n">
        <f aca="false">SUMIF(Arm!$C$5:$C$36,A43,Arm!$D$5:$D$36)+SUMIF(Rover!$C$5:$C$39,A43,Rover!$D$5:$D$39)+SUMIF(Hexapod!$C$5:$C$35,A43,Hexapod!$D$5:$D$35)</f>
        <v>0.13</v>
      </c>
      <c r="D43" s="36" t="n">
        <f aca="false">INDEX(Prices!$E$5:$E$82,MATCH(A43,Prices!$A$5:$A$82,0))</f>
        <v>1</v>
      </c>
      <c r="E43" s="4" t="n">
        <f aca="false">IF(C43&lt;=0,0,CEILING(C43/D43,1))</f>
        <v>1</v>
      </c>
      <c r="F43" s="8" t="n">
        <f aca="false">INDEX(Prices!$H$5:$H$82,MATCH(A43,Prices!$A$5:$A$82,0))</f>
        <v>24</v>
      </c>
      <c r="G43" s="32" t="n">
        <f aca="false">E43*F43</f>
        <v>24</v>
      </c>
      <c r="H43" s="32" t="n">
        <f aca="false">IF(C43&lt;=0,0,IF(ISNUMBER(INDEX(Prices!$L$5:$L$82,MATCH(A43,Prices!$A$5:$A$82,0))),CEILING(C43/INDEX(Prices!$K$5:$K$82,MATCH(A43,Prices!$A$5:$A$82,0)),1)*INDEX(Prices!$L$5:$L$82,MATCH(A43,Prices!$A$5:$A$82,0)),G43))</f>
        <v>24</v>
      </c>
    </row>
    <row r="44" customFormat="false" ht="15" hidden="false" customHeight="false" outlineLevel="0" collapsed="false">
      <c r="A44" s="36" t="s">
        <v>287</v>
      </c>
      <c r="B44" s="4" t="s">
        <v>288</v>
      </c>
      <c r="C44" s="4" t="n">
        <f aca="false">SUMIF(Arm!$C$5:$C$36,A44,Arm!$D$5:$D$36)+SUMIF(Rover!$C$5:$C$39,A44,Rover!$D$5:$D$39)+SUMIF(Hexapod!$C$5:$C$35,A44,Hexapod!$D$5:$D$35)</f>
        <v>11</v>
      </c>
      <c r="D44" s="36" t="n">
        <f aca="false">INDEX(Prices!$E$5:$E$82,MATCH(A44,Prices!$A$5:$A$82,0))</f>
        <v>10</v>
      </c>
      <c r="E44" s="4" t="n">
        <f aca="false">IF(C44&lt;=0,0,CEILING(C44/D44,1))</f>
        <v>2</v>
      </c>
      <c r="F44" s="8" t="n">
        <f aca="false">INDEX(Prices!$H$5:$H$82,MATCH(A44,Prices!$A$5:$A$82,0))</f>
        <v>0.95</v>
      </c>
      <c r="G44" s="32" t="n">
        <f aca="false">E44*F44</f>
        <v>1.9</v>
      </c>
      <c r="H44" s="32" t="n">
        <f aca="false">IF(C44&lt;=0,0,IF(ISNUMBER(INDEX(Prices!$L$5:$L$82,MATCH(A44,Prices!$A$5:$A$82,0))),CEILING(C44/INDEX(Prices!$K$5:$K$82,MATCH(A44,Prices!$A$5:$A$82,0)),1)*INDEX(Prices!$L$5:$L$82,MATCH(A44,Prices!$A$5:$A$82,0)),G44))</f>
        <v>1.9</v>
      </c>
    </row>
    <row r="45" customFormat="false" ht="15" hidden="false" customHeight="false" outlineLevel="0" collapsed="false">
      <c r="A45" s="36" t="s">
        <v>292</v>
      </c>
      <c r="B45" s="4" t="s">
        <v>293</v>
      </c>
      <c r="C45" s="4" t="n">
        <f aca="false">SUMIF(Arm!$C$5:$C$36,A45,Arm!$D$5:$D$36)+SUMIF(Rover!$C$5:$C$39,A45,Rover!$D$5:$D$39)+SUMIF(Hexapod!$C$5:$C$35,A45,Hexapod!$D$5:$D$35)</f>
        <v>38</v>
      </c>
      <c r="D45" s="36" t="n">
        <f aca="false">INDEX(Prices!$E$5:$E$82,MATCH(A45,Prices!$A$5:$A$82,0))</f>
        <v>40</v>
      </c>
      <c r="E45" s="4" t="n">
        <f aca="false">IF(C45&lt;=0,0,CEILING(C45/D45,1))</f>
        <v>1</v>
      </c>
      <c r="F45" s="8" t="n">
        <f aca="false">INDEX(Prices!$H$5:$H$82,MATCH(A45,Prices!$A$5:$A$82,0))</f>
        <v>1.95</v>
      </c>
      <c r="G45" s="32" t="n">
        <f aca="false">E45*F45</f>
        <v>1.95</v>
      </c>
      <c r="H45" s="32" t="n">
        <f aca="false">IF(C45&lt;=0,0,IF(ISNUMBER(INDEX(Prices!$L$5:$L$82,MATCH(A45,Prices!$A$5:$A$82,0))),CEILING(C45/INDEX(Prices!$K$5:$K$82,MATCH(A45,Prices!$A$5:$A$82,0)),1)*INDEX(Prices!$L$5:$L$82,MATCH(A45,Prices!$A$5:$A$82,0)),G45))</f>
        <v>1.95</v>
      </c>
    </row>
    <row r="46" customFormat="false" ht="15" hidden="false" customHeight="false" outlineLevel="0" collapsed="false">
      <c r="A46" s="36" t="s">
        <v>297</v>
      </c>
      <c r="B46" s="4" t="s">
        <v>298</v>
      </c>
      <c r="C46" s="4" t="n">
        <f aca="false">SUMIF(Arm!$C$5:$C$36,A46,Arm!$D$5:$D$36)+SUMIF(Rover!$C$5:$C$39,A46,Rover!$D$5:$D$39)+SUMIF(Hexapod!$C$5:$C$35,A46,Hexapod!$D$5:$D$35)</f>
        <v>20</v>
      </c>
      <c r="D46" s="36" t="n">
        <f aca="false">INDEX(Prices!$E$5:$E$82,MATCH(A46,Prices!$A$5:$A$82,0))</f>
        <v>1</v>
      </c>
      <c r="E46" s="4" t="n">
        <f aca="false">IF(C46&lt;=0,0,CEILING(C46/D46,1))</f>
        <v>20</v>
      </c>
      <c r="F46" s="8" t="n">
        <f aca="false">INDEX(Prices!$H$5:$H$82,MATCH(A46,Prices!$A$5:$A$82,0))</f>
        <v>6</v>
      </c>
      <c r="G46" s="32" t="n">
        <f aca="false">E46*F46</f>
        <v>120</v>
      </c>
      <c r="H46" s="32" t="n">
        <f aca="false">IF(C46&lt;=0,0,IF(ISNUMBER(INDEX(Prices!$L$5:$L$82,MATCH(A46,Prices!$A$5:$A$82,0))),CEILING(C46/INDEX(Prices!$K$5:$K$82,MATCH(A46,Prices!$A$5:$A$82,0)),1)*INDEX(Prices!$L$5:$L$82,MATCH(A46,Prices!$A$5:$A$82,0)),G46))</f>
        <v>64.3678</v>
      </c>
    </row>
    <row r="47" customFormat="false" ht="15" hidden="false" customHeight="false" outlineLevel="0" collapsed="false">
      <c r="A47" s="36" t="s">
        <v>304</v>
      </c>
      <c r="B47" s="4" t="s">
        <v>305</v>
      </c>
      <c r="C47" s="4" t="n">
        <f aca="false">SUMIF(Arm!$C$5:$C$36,A47,Arm!$D$5:$D$36)+SUMIF(Rover!$C$5:$C$39,A47,Rover!$D$5:$D$39)+SUMIF(Hexapod!$C$5:$C$35,A47,Hexapod!$D$5:$D$35)</f>
        <v>3</v>
      </c>
      <c r="D47" s="36" t="n">
        <f aca="false">INDEX(Prices!$E$5:$E$82,MATCH(A47,Prices!$A$5:$A$82,0))</f>
        <v>1</v>
      </c>
      <c r="E47" s="4" t="n">
        <f aca="false">IF(C47&lt;=0,0,CEILING(C47/D47,1))</f>
        <v>3</v>
      </c>
      <c r="F47" s="8" t="n">
        <f aca="false">INDEX(Prices!$H$5:$H$82,MATCH(A47,Prices!$A$5:$A$82,0))</f>
        <v>8.95</v>
      </c>
      <c r="G47" s="32" t="n">
        <f aca="false">E47*F47</f>
        <v>26.85</v>
      </c>
      <c r="H47" s="32" t="n">
        <f aca="false">IF(C47&lt;=0,0,IF(ISNUMBER(INDEX(Prices!$L$5:$L$82,MATCH(A47,Prices!$A$5:$A$82,0))),CEILING(C47/INDEX(Prices!$K$5:$K$82,MATCH(A47,Prices!$A$5:$A$82,0)),1)*INDEX(Prices!$L$5:$L$82,MATCH(A47,Prices!$A$5:$A$82,0)),G47))</f>
        <v>20.947521</v>
      </c>
    </row>
    <row r="48" customFormat="false" ht="15" hidden="false" customHeight="false" outlineLevel="0" collapsed="false">
      <c r="A48" s="36" t="s">
        <v>312</v>
      </c>
      <c r="B48" s="4" t="s">
        <v>313</v>
      </c>
      <c r="C48" s="4" t="n">
        <f aca="false">SUMIF(Arm!$C$5:$C$36,A48,Arm!$D$5:$D$36)+SUMIF(Rover!$C$5:$C$39,A48,Rover!$D$5:$D$39)+SUMIF(Hexapod!$C$5:$C$35,A48,Hexapod!$D$5:$D$35)</f>
        <v>2</v>
      </c>
      <c r="D48" s="36" t="n">
        <f aca="false">INDEX(Prices!$E$5:$E$82,MATCH(A48,Prices!$A$5:$A$82,0))</f>
        <v>5</v>
      </c>
      <c r="E48" s="4" t="n">
        <f aca="false">IF(C48&lt;=0,0,CEILING(C48/D48,1))</f>
        <v>1</v>
      </c>
      <c r="F48" s="8" t="n">
        <f aca="false">INDEX(Prices!$H$5:$H$82,MATCH(A48,Prices!$A$5:$A$82,0))</f>
        <v>8.325835</v>
      </c>
      <c r="G48" s="32" t="n">
        <f aca="false">E48*F48</f>
        <v>8.325835</v>
      </c>
      <c r="H48" s="32" t="n">
        <f aca="false">IF(C48&lt;=0,0,IF(ISNUMBER(INDEX(Prices!$L$5:$L$82,MATCH(A48,Prices!$A$5:$A$82,0))),CEILING(C48/INDEX(Prices!$K$5:$K$82,MATCH(A48,Prices!$A$5:$A$82,0)),1)*INDEX(Prices!$L$5:$L$82,MATCH(A48,Prices!$A$5:$A$82,0)),G48))</f>
        <v>8.325835</v>
      </c>
    </row>
    <row r="49" customFormat="false" ht="15" hidden="false" customHeight="false" outlineLevel="0" collapsed="false">
      <c r="A49" s="36" t="s">
        <v>318</v>
      </c>
      <c r="B49" s="4" t="s">
        <v>319</v>
      </c>
      <c r="C49" s="4" t="n">
        <f aca="false">SUMIF(Arm!$C$5:$C$36,A49,Arm!$D$5:$D$36)+SUMIF(Rover!$C$5:$C$39,A49,Rover!$D$5:$D$39)+SUMIF(Hexapod!$C$5:$C$35,A49,Hexapod!$D$5:$D$35)</f>
        <v>2</v>
      </c>
      <c r="D49" s="36" t="n">
        <f aca="false">INDEX(Prices!$E$5:$E$82,MATCH(A49,Prices!$A$5:$A$82,0))</f>
        <v>1</v>
      </c>
      <c r="E49" s="4" t="n">
        <f aca="false">IF(C49&lt;=0,0,CEILING(C49/D49,1))</f>
        <v>2</v>
      </c>
      <c r="F49" s="8" t="n">
        <f aca="false">INDEX(Prices!$H$5:$H$82,MATCH(A49,Prices!$A$5:$A$82,0))</f>
        <v>7.99</v>
      </c>
      <c r="G49" s="32" t="n">
        <f aca="false">E49*F49</f>
        <v>15.98</v>
      </c>
      <c r="H49" s="32" t="n">
        <f aca="false">IF(C49&lt;=0,0,IF(ISNUMBER(INDEX(Prices!$L$5:$L$82,MATCH(A49,Prices!$A$5:$A$82,0))),CEILING(C49/INDEX(Prices!$K$5:$K$82,MATCH(A49,Prices!$A$5:$A$82,0)),1)*INDEX(Prices!$L$5:$L$82,MATCH(A49,Prices!$A$5:$A$82,0)),G49))</f>
        <v>15.98</v>
      </c>
    </row>
    <row r="50" customFormat="false" ht="15" hidden="false" customHeight="false" outlineLevel="0" collapsed="false">
      <c r="A50" s="36" t="s">
        <v>323</v>
      </c>
      <c r="B50" s="4" t="s">
        <v>324</v>
      </c>
      <c r="C50" s="4" t="n">
        <f aca="false">SUMIF(Arm!$C$5:$C$36,A50,Arm!$D$5:$D$36)+SUMIF(Rover!$C$5:$C$39,A50,Rover!$D$5:$D$39)+SUMIF(Hexapod!$C$5:$C$35,A50,Hexapod!$D$5:$D$35)</f>
        <v>2</v>
      </c>
      <c r="D50" s="36" t="n">
        <f aca="false">INDEX(Prices!$E$5:$E$82,MATCH(A50,Prices!$A$5:$A$82,0))</f>
        <v>1</v>
      </c>
      <c r="E50" s="4" t="n">
        <f aca="false">IF(C50&lt;=0,0,CEILING(C50/D50,1))</f>
        <v>2</v>
      </c>
      <c r="F50" s="8" t="n">
        <f aca="false">INDEX(Prices!$H$5:$H$82,MATCH(A50,Prices!$A$5:$A$82,0))</f>
        <v>6.95</v>
      </c>
      <c r="G50" s="32" t="n">
        <f aca="false">E50*F50</f>
        <v>13.9</v>
      </c>
      <c r="H50" s="32" t="n">
        <f aca="false">IF(C50&lt;=0,0,IF(ISNUMBER(INDEX(Prices!$L$5:$L$82,MATCH(A50,Prices!$A$5:$A$82,0))),CEILING(C50/INDEX(Prices!$K$5:$K$82,MATCH(A50,Prices!$A$5:$A$82,0)),1)*INDEX(Prices!$L$5:$L$82,MATCH(A50,Prices!$A$5:$A$82,0)),G50))</f>
        <v>13.9</v>
      </c>
    </row>
    <row r="51" customFormat="false" ht="15" hidden="false" customHeight="false" outlineLevel="0" collapsed="false">
      <c r="A51" s="36" t="s">
        <v>345</v>
      </c>
      <c r="B51" s="4" t="s">
        <v>346</v>
      </c>
      <c r="C51" s="4" t="n">
        <f aca="false">SUMIF(Arm!$C$5:$C$36,A51,Arm!$D$5:$D$36)+SUMIF(Rover!$C$5:$C$39,A51,Rover!$D$5:$D$39)+SUMIF(Hexapod!$C$5:$C$35,A51,Hexapod!$D$5:$D$35)</f>
        <v>1</v>
      </c>
      <c r="D51" s="36" t="n">
        <f aca="false">INDEX(Prices!$E$5:$E$82,MATCH(A51,Prices!$A$5:$A$82,0))</f>
        <v>1</v>
      </c>
      <c r="E51" s="4" t="n">
        <f aca="false">IF(C51&lt;=0,0,CEILING(C51/D51,1))</f>
        <v>1</v>
      </c>
      <c r="F51" s="8" t="n">
        <f aca="false">INDEX(Prices!$H$5:$H$82,MATCH(A51,Prices!$A$5:$A$82,0))</f>
        <v>27.13</v>
      </c>
      <c r="G51" s="32" t="n">
        <f aca="false">E51*F51</f>
        <v>27.13</v>
      </c>
      <c r="H51" s="32" t="n">
        <f aca="false">IF(C51&lt;=0,0,IF(ISNUMBER(INDEX(Prices!$L$5:$L$82,MATCH(A51,Prices!$A$5:$A$82,0))),CEILING(C51/INDEX(Prices!$K$5:$K$82,MATCH(A51,Prices!$A$5:$A$82,0)),1)*INDEX(Prices!$L$5:$L$82,MATCH(A51,Prices!$A$5:$A$82,0)),G51))</f>
        <v>27.13</v>
      </c>
    </row>
    <row r="52" customFormat="false" ht="15" hidden="false" customHeight="false" outlineLevel="0" collapsed="false">
      <c r="A52" s="36" t="s">
        <v>350</v>
      </c>
      <c r="B52" s="4" t="s">
        <v>351</v>
      </c>
      <c r="C52" s="4" t="n">
        <f aca="false">SUMIF(Arm!$C$5:$C$36,A52,Arm!$D$5:$D$36)+SUMIF(Rover!$C$5:$C$39,A52,Rover!$D$5:$D$39)+SUMIF(Hexapod!$C$5:$C$35,A52,Hexapod!$D$5:$D$35)</f>
        <v>1</v>
      </c>
      <c r="D52" s="36" t="n">
        <f aca="false">INDEX(Prices!$E$5:$E$82,MATCH(A52,Prices!$A$5:$A$82,0))</f>
        <v>1</v>
      </c>
      <c r="E52" s="4" t="n">
        <f aca="false">IF(C52&lt;=0,0,CEILING(C52/D52,1))</f>
        <v>1</v>
      </c>
      <c r="F52" s="8" t="n">
        <f aca="false">INDEX(Prices!$H$5:$H$82,MATCH(A52,Prices!$A$5:$A$82,0))</f>
        <v>0.99</v>
      </c>
      <c r="G52" s="32" t="n">
        <f aca="false">E52*F52</f>
        <v>0.99</v>
      </c>
      <c r="H52" s="32" t="n">
        <f aca="false">IF(C52&lt;=0,0,IF(ISNUMBER(INDEX(Prices!$L$5:$L$82,MATCH(A52,Prices!$A$5:$A$82,0))),CEILING(C52/INDEX(Prices!$K$5:$K$82,MATCH(A52,Prices!$A$5:$A$82,0)),1)*INDEX(Prices!$L$5:$L$82,MATCH(A52,Prices!$A$5:$A$82,0)),G52))</f>
        <v>0.99</v>
      </c>
    </row>
    <row r="53" customFormat="false" ht="15" hidden="false" customHeight="false" outlineLevel="0" collapsed="false">
      <c r="A53" s="36" t="s">
        <v>355</v>
      </c>
      <c r="B53" s="4" t="s">
        <v>356</v>
      </c>
      <c r="C53" s="4" t="n">
        <f aca="false">SUMIF(Arm!$C$5:$C$36,A53,Arm!$D$5:$D$36)+SUMIF(Rover!$C$5:$C$39,A53,Rover!$D$5:$D$39)+SUMIF(Hexapod!$C$5:$C$35,A53,Hexapod!$D$5:$D$35)</f>
        <v>2</v>
      </c>
      <c r="D53" s="36" t="n">
        <f aca="false">INDEX(Prices!$E$5:$E$82,MATCH(A53,Prices!$A$5:$A$82,0))</f>
        <v>10</v>
      </c>
      <c r="E53" s="4" t="n">
        <f aca="false">IF(C53&lt;=0,0,CEILING(C53/D53,1))</f>
        <v>1</v>
      </c>
      <c r="F53" s="8" t="n">
        <f aca="false">INDEX(Prices!$H$5:$H$82,MATCH(A53,Prices!$A$5:$A$82,0))</f>
        <v>1</v>
      </c>
      <c r="G53" s="32" t="n">
        <f aca="false">E53*F53</f>
        <v>1</v>
      </c>
      <c r="H53" s="32" t="n">
        <f aca="false">IF(C53&lt;=0,0,IF(ISNUMBER(INDEX(Prices!$L$5:$L$82,MATCH(A53,Prices!$A$5:$A$82,0))),CEILING(C53/INDEX(Prices!$K$5:$K$82,MATCH(A53,Prices!$A$5:$A$82,0)),1)*INDEX(Prices!$L$5:$L$82,MATCH(A53,Prices!$A$5:$A$82,0)),G53))</f>
        <v>1</v>
      </c>
    </row>
    <row r="54" customFormat="false" ht="15" hidden="false" customHeight="false" outlineLevel="0" collapsed="false">
      <c r="A54" s="36" t="s">
        <v>360</v>
      </c>
      <c r="B54" s="4" t="s">
        <v>361</v>
      </c>
      <c r="C54" s="4" t="n">
        <f aca="false">SUMIF(Arm!$C$5:$C$36,A54,Arm!$D$5:$D$36)+SUMIF(Rover!$C$5:$C$39,A54,Rover!$D$5:$D$39)+SUMIF(Hexapod!$C$5:$C$35,A54,Hexapod!$D$5:$D$35)</f>
        <v>0.25</v>
      </c>
      <c r="D54" s="36" t="n">
        <f aca="false">INDEX(Prices!$E$5:$E$82,MATCH(A54,Prices!$A$5:$A$82,0))</f>
        <v>1</v>
      </c>
      <c r="E54" s="4" t="n">
        <f aca="false">IF(C54&lt;=0,0,CEILING(C54/D54,1))</f>
        <v>1</v>
      </c>
      <c r="F54" s="8" t="n">
        <f aca="false">INDEX(Prices!$H$5:$H$82,MATCH(A54,Prices!$A$5:$A$82,0))</f>
        <v>12.95</v>
      </c>
      <c r="G54" s="32" t="n">
        <f aca="false">E54*F54</f>
        <v>12.95</v>
      </c>
      <c r="H54" s="32" t="n">
        <f aca="false">IF(C54&lt;=0,0,IF(ISNUMBER(INDEX(Prices!$L$5:$L$82,MATCH(A54,Prices!$A$5:$A$82,0))),CEILING(C54/INDEX(Prices!$K$5:$K$82,MATCH(A54,Prices!$A$5:$A$82,0)),1)*INDEX(Prices!$L$5:$L$82,MATCH(A54,Prices!$A$5:$A$82,0)),G54))</f>
        <v>12.95</v>
      </c>
    </row>
    <row r="55" customFormat="false" ht="15" hidden="false" customHeight="false" outlineLevel="0" collapsed="false">
      <c r="A55" s="36" t="s">
        <v>365</v>
      </c>
      <c r="B55" s="4" t="s">
        <v>366</v>
      </c>
      <c r="C55" s="4" t="n">
        <f aca="false">SUMIF(Arm!$C$5:$C$36,A55,Arm!$D$5:$D$36)+SUMIF(Rover!$C$5:$C$39,A55,Rover!$D$5:$D$39)+SUMIF(Hexapod!$C$5:$C$35,A55,Hexapod!$D$5:$D$35)</f>
        <v>4</v>
      </c>
      <c r="D55" s="36" t="n">
        <f aca="false">INDEX(Prices!$E$5:$E$82,MATCH(A55,Prices!$A$5:$A$82,0))</f>
        <v>4</v>
      </c>
      <c r="E55" s="4" t="n">
        <f aca="false">IF(C55&lt;=0,0,CEILING(C55/D55,1))</f>
        <v>1</v>
      </c>
      <c r="F55" s="8" t="n">
        <f aca="false">INDEX(Prices!$H$5:$H$82,MATCH(A55,Prices!$A$5:$A$82,0))</f>
        <v>1</v>
      </c>
      <c r="G55" s="32" t="n">
        <f aca="false">E55*F55</f>
        <v>1</v>
      </c>
      <c r="H55" s="32" t="n">
        <f aca="false">IF(C55&lt;=0,0,IF(ISNUMBER(INDEX(Prices!$L$5:$L$82,MATCH(A55,Prices!$A$5:$A$82,0))),CEILING(C55/INDEX(Prices!$K$5:$K$82,MATCH(A55,Prices!$A$5:$A$82,0)),1)*INDEX(Prices!$L$5:$L$82,MATCH(A55,Prices!$A$5:$A$82,0)),G55))</f>
        <v>1</v>
      </c>
    </row>
    <row r="56" customFormat="false" ht="15" hidden="false" customHeight="false" outlineLevel="0" collapsed="false">
      <c r="A56" s="36" t="s">
        <v>370</v>
      </c>
      <c r="B56" s="4" t="s">
        <v>371</v>
      </c>
      <c r="C56" s="4" t="n">
        <f aca="false">SUMIF(Arm!$C$5:$C$36,A56,Arm!$D$5:$D$36)+SUMIF(Rover!$C$5:$C$39,A56,Rover!$D$5:$D$39)+SUMIF(Hexapod!$C$5:$C$35,A56,Hexapod!$D$5:$D$35)</f>
        <v>2</v>
      </c>
      <c r="D56" s="36" t="n">
        <f aca="false">INDEX(Prices!$E$5:$E$82,MATCH(A56,Prices!$A$5:$A$82,0))</f>
        <v>5</v>
      </c>
      <c r="E56" s="4" t="n">
        <f aca="false">IF(C56&lt;=0,0,CEILING(C56/D56,1))</f>
        <v>1</v>
      </c>
      <c r="F56" s="8" t="n">
        <f aca="false">INDEX(Prices!$H$5:$H$82,MATCH(A56,Prices!$A$5:$A$82,0))</f>
        <v>1.99</v>
      </c>
      <c r="G56" s="32" t="n">
        <f aca="false">E56*F56</f>
        <v>1.99</v>
      </c>
      <c r="H56" s="32" t="n">
        <f aca="false">IF(C56&lt;=0,0,IF(ISNUMBER(INDEX(Prices!$L$5:$L$82,MATCH(A56,Prices!$A$5:$A$82,0))),CEILING(C56/INDEX(Prices!$K$5:$K$82,MATCH(A56,Prices!$A$5:$A$82,0)),1)*INDEX(Prices!$L$5:$L$82,MATCH(A56,Prices!$A$5:$A$82,0)),G56))</f>
        <v>1.99</v>
      </c>
    </row>
    <row r="57" customFormat="false" ht="15" hidden="false" customHeight="false" outlineLevel="0" collapsed="false">
      <c r="A57" s="36" t="s">
        <v>375</v>
      </c>
      <c r="B57" s="4" t="s">
        <v>376</v>
      </c>
      <c r="C57" s="4" t="n">
        <f aca="false">SUMIF(Arm!$C$5:$C$36,A57,Arm!$D$5:$D$36)+SUMIF(Rover!$C$5:$C$39,A57,Rover!$D$5:$D$39)+SUMIF(Hexapod!$C$5:$C$35,A57,Hexapod!$D$5:$D$35)</f>
        <v>61</v>
      </c>
      <c r="D57" s="36" t="n">
        <f aca="false">INDEX(Prices!$E$5:$E$82,MATCH(A57,Prices!$A$5:$A$82,0))</f>
        <v>10</v>
      </c>
      <c r="E57" s="4" t="n">
        <f aca="false">IF(C57&lt;=0,0,CEILING(C57/D57,1))</f>
        <v>7</v>
      </c>
      <c r="F57" s="8" t="n">
        <f aca="false">INDEX(Prices!$H$5:$H$82,MATCH(A57,Prices!$A$5:$A$82,0))</f>
        <v>1.49</v>
      </c>
      <c r="G57" s="32" t="n">
        <f aca="false">E57*F57</f>
        <v>10.43</v>
      </c>
      <c r="H57" s="32" t="n">
        <f aca="false">IF(C57&lt;=0,0,IF(ISNUMBER(INDEX(Prices!$L$5:$L$82,MATCH(A57,Prices!$A$5:$A$82,0))),CEILING(C57/INDEX(Prices!$K$5:$K$82,MATCH(A57,Prices!$A$5:$A$82,0)),1)*INDEX(Prices!$L$5:$L$82,MATCH(A57,Prices!$A$5:$A$82,0)),G57))</f>
        <v>10.43</v>
      </c>
    </row>
    <row r="58" customFormat="false" ht="15" hidden="false" customHeight="false" outlineLevel="0" collapsed="false">
      <c r="A58" s="36" t="s">
        <v>380</v>
      </c>
      <c r="B58" s="4" t="s">
        <v>381</v>
      </c>
      <c r="C58" s="4" t="n">
        <f aca="false">SUMIF(Arm!$C$5:$C$36,A58,Arm!$D$5:$D$36)+SUMIF(Rover!$C$5:$C$39,A58,Rover!$D$5:$D$39)+SUMIF(Hexapod!$C$5:$C$35,A58,Hexapod!$D$5:$D$35)</f>
        <v>12</v>
      </c>
      <c r="D58" s="36" t="n">
        <f aca="false">INDEX(Prices!$E$5:$E$82,MATCH(A58,Prices!$A$5:$A$82,0))</f>
        <v>1</v>
      </c>
      <c r="E58" s="4" t="n">
        <f aca="false">IF(C58&lt;=0,0,CEILING(C58/D58,1))</f>
        <v>12</v>
      </c>
      <c r="F58" s="8" t="n">
        <f aca="false">INDEX(Prices!$H$5:$H$82,MATCH(A58,Prices!$A$5:$A$82,0))</f>
        <v>0.86</v>
      </c>
      <c r="G58" s="32" t="n">
        <f aca="false">E58*F58</f>
        <v>10.32</v>
      </c>
      <c r="H58" s="32" t="n">
        <f aca="false">IF(C58&lt;=0,0,IF(ISNUMBER(INDEX(Prices!$L$5:$L$82,MATCH(A58,Prices!$A$5:$A$82,0))),CEILING(C58/INDEX(Prices!$K$5:$K$82,MATCH(A58,Prices!$A$5:$A$82,0)),1)*INDEX(Prices!$L$5:$L$82,MATCH(A58,Prices!$A$5:$A$82,0)),G58))</f>
        <v>10.32</v>
      </c>
    </row>
    <row r="59" customFormat="false" ht="15" hidden="false" customHeight="false" outlineLevel="0" collapsed="false">
      <c r="A59" s="36" t="s">
        <v>385</v>
      </c>
      <c r="B59" s="4" t="s">
        <v>386</v>
      </c>
      <c r="C59" s="4" t="n">
        <f aca="false">SUMIF(Arm!$C$5:$C$36,A59,Arm!$D$5:$D$36)+SUMIF(Rover!$C$5:$C$39,A59,Rover!$D$5:$D$39)+SUMIF(Hexapod!$C$5:$C$35,A59,Hexapod!$D$5:$D$35)</f>
        <v>1</v>
      </c>
      <c r="D59" s="36" t="n">
        <f aca="false">INDEX(Prices!$E$5:$E$82,MATCH(A59,Prices!$A$5:$A$82,0))</f>
        <v>1</v>
      </c>
      <c r="E59" s="4" t="n">
        <f aca="false">IF(C59&lt;=0,0,CEILING(C59/D59,1))</f>
        <v>1</v>
      </c>
      <c r="F59" s="8" t="n">
        <f aca="false">INDEX(Prices!$H$5:$H$82,MATCH(A59,Prices!$A$5:$A$82,0))</f>
        <v>3.06</v>
      </c>
      <c r="G59" s="32" t="n">
        <f aca="false">E59*F59</f>
        <v>3.06</v>
      </c>
      <c r="H59" s="32" t="n">
        <f aca="false">IF(C59&lt;=0,0,IF(ISNUMBER(INDEX(Prices!$L$5:$L$82,MATCH(A59,Prices!$A$5:$A$82,0))),CEILING(C59/INDEX(Prices!$K$5:$K$82,MATCH(A59,Prices!$A$5:$A$82,0)),1)*INDEX(Prices!$L$5:$L$82,MATCH(A59,Prices!$A$5:$A$82,0)),G59))</f>
        <v>3.06</v>
      </c>
    </row>
    <row r="60" customFormat="false" ht="15" hidden="false" customHeight="false" outlineLevel="0" collapsed="false">
      <c r="A60" s="36" t="s">
        <v>390</v>
      </c>
      <c r="B60" s="4" t="s">
        <v>391</v>
      </c>
      <c r="C60" s="4" t="n">
        <f aca="false">SUMIF(Arm!$C$5:$C$36,A60,Arm!$D$5:$D$36)+SUMIF(Rover!$C$5:$C$39,A60,Rover!$D$5:$D$39)+SUMIF(Hexapod!$C$5:$C$35,A60,Hexapod!$D$5:$D$35)</f>
        <v>2</v>
      </c>
      <c r="D60" s="36" t="n">
        <f aca="false">INDEX(Prices!$E$5:$E$82,MATCH(A60,Prices!$A$5:$A$82,0))</f>
        <v>1</v>
      </c>
      <c r="E60" s="4" t="n">
        <f aca="false">IF(C60&lt;=0,0,CEILING(C60/D60,1))</f>
        <v>2</v>
      </c>
      <c r="F60" s="8" t="n">
        <f aca="false">INDEX(Prices!$H$5:$H$82,MATCH(A60,Prices!$A$5:$A$82,0))</f>
        <v>1.36</v>
      </c>
      <c r="G60" s="32" t="n">
        <f aca="false">E60*F60</f>
        <v>2.72</v>
      </c>
      <c r="H60" s="32" t="n">
        <f aca="false">IF(C60&lt;=0,0,IF(ISNUMBER(INDEX(Prices!$L$5:$L$82,MATCH(A60,Prices!$A$5:$A$82,0))),CEILING(C60/INDEX(Prices!$K$5:$K$82,MATCH(A60,Prices!$A$5:$A$82,0)),1)*INDEX(Prices!$L$5:$L$82,MATCH(A60,Prices!$A$5:$A$82,0)),G60))</f>
        <v>2.72</v>
      </c>
    </row>
    <row r="61" customFormat="false" ht="15" hidden="false" customHeight="false" outlineLevel="0" collapsed="false">
      <c r="A61" s="36" t="s">
        <v>395</v>
      </c>
      <c r="B61" s="4" t="s">
        <v>396</v>
      </c>
      <c r="C61" s="4" t="n">
        <f aca="false">SUMIF(Arm!$C$5:$C$36,A61,Arm!$D$5:$D$36)+SUMIF(Rover!$C$5:$C$39,A61,Rover!$D$5:$D$39)+SUMIF(Hexapod!$C$5:$C$35,A61,Hexapod!$D$5:$D$35)</f>
        <v>1</v>
      </c>
      <c r="D61" s="36" t="n">
        <f aca="false">INDEX(Prices!$E$5:$E$82,MATCH(A61,Prices!$A$5:$A$82,0))</f>
        <v>1</v>
      </c>
      <c r="E61" s="4" t="n">
        <f aca="false">IF(C61&lt;=0,0,CEILING(C61/D61,1))</f>
        <v>1</v>
      </c>
      <c r="F61" s="8" t="n">
        <f aca="false">INDEX(Prices!$H$5:$H$82,MATCH(A61,Prices!$A$5:$A$82,0))</f>
        <v>7.54</v>
      </c>
      <c r="G61" s="32" t="n">
        <f aca="false">E61*F61</f>
        <v>7.54</v>
      </c>
      <c r="H61" s="32" t="n">
        <f aca="false">IF(C61&lt;=0,0,IF(ISNUMBER(INDEX(Prices!$L$5:$L$82,MATCH(A61,Prices!$A$5:$A$82,0))),CEILING(C61/INDEX(Prices!$K$5:$K$82,MATCH(A61,Prices!$A$5:$A$82,0)),1)*INDEX(Prices!$L$5:$L$82,MATCH(A61,Prices!$A$5:$A$82,0)),G61))</f>
        <v>6</v>
      </c>
    </row>
    <row r="62" customFormat="false" ht="15" hidden="false" customHeight="false" outlineLevel="0" collapsed="false">
      <c r="A62" s="36" t="s">
        <v>402</v>
      </c>
      <c r="B62" s="4" t="s">
        <v>403</v>
      </c>
      <c r="C62" s="4" t="n">
        <f aca="false">SUMIF(Arm!$C$5:$C$36,A62,Arm!$D$5:$D$36)+SUMIF(Rover!$C$5:$C$39,A62,Rover!$D$5:$D$39)+SUMIF(Hexapod!$C$5:$C$35,A62,Hexapod!$D$5:$D$35)</f>
        <v>1</v>
      </c>
      <c r="D62" s="36" t="n">
        <f aca="false">INDEX(Prices!$E$5:$E$82,MATCH(A62,Prices!$A$5:$A$82,0))</f>
        <v>1</v>
      </c>
      <c r="E62" s="4" t="n">
        <f aca="false">IF(C62&lt;=0,0,CEILING(C62/D62,1))</f>
        <v>1</v>
      </c>
      <c r="F62" s="8" t="n">
        <f aca="false">INDEX(Prices!$H$5:$H$82,MATCH(A62,Prices!$A$5:$A$82,0))</f>
        <v>3.99</v>
      </c>
      <c r="G62" s="32" t="n">
        <f aca="false">E62*F62</f>
        <v>3.99</v>
      </c>
      <c r="H62" s="32" t="n">
        <f aca="false">IF(C62&lt;=0,0,IF(ISNUMBER(INDEX(Prices!$L$5:$L$82,MATCH(A62,Prices!$A$5:$A$82,0))),CEILING(C62/INDEX(Prices!$K$5:$K$82,MATCH(A62,Prices!$A$5:$A$82,0)),1)*INDEX(Prices!$L$5:$L$82,MATCH(A62,Prices!$A$5:$A$82,0)),G62))</f>
        <v>3.99</v>
      </c>
    </row>
    <row r="63" customFormat="false" ht="15" hidden="false" customHeight="false" outlineLevel="0" collapsed="false">
      <c r="A63" s="36" t="s">
        <v>407</v>
      </c>
      <c r="B63" s="4" t="s">
        <v>408</v>
      </c>
      <c r="C63" s="4" t="n">
        <f aca="false">SUMIF(Arm!$C$5:$C$36,A63,Arm!$D$5:$D$36)+SUMIF(Rover!$C$5:$C$39,A63,Rover!$D$5:$D$39)+SUMIF(Hexapod!$C$5:$C$35,A63,Hexapod!$D$5:$D$35)</f>
        <v>1</v>
      </c>
      <c r="D63" s="36" t="n">
        <f aca="false">INDEX(Prices!$E$5:$E$82,MATCH(A63,Prices!$A$5:$A$82,0))</f>
        <v>1</v>
      </c>
      <c r="E63" s="4" t="n">
        <f aca="false">IF(C63&lt;=0,0,CEILING(C63/D63,1))</f>
        <v>1</v>
      </c>
      <c r="F63" s="8" t="n">
        <f aca="false">INDEX(Prices!$H$5:$H$82,MATCH(A63,Prices!$A$5:$A$82,0))</f>
        <v>7.07</v>
      </c>
      <c r="G63" s="32" t="n">
        <f aca="false">E63*F63</f>
        <v>7.07</v>
      </c>
      <c r="H63" s="32" t="n">
        <f aca="false">IF(C63&lt;=0,0,IF(ISNUMBER(INDEX(Prices!$L$5:$L$82,MATCH(A63,Prices!$A$5:$A$82,0))),CEILING(C63/INDEX(Prices!$K$5:$K$82,MATCH(A63,Prices!$A$5:$A$82,0)),1)*INDEX(Prices!$L$5:$L$82,MATCH(A63,Prices!$A$5:$A$82,0)),G63))</f>
        <v>7.07</v>
      </c>
    </row>
    <row r="64" customFormat="false" ht="15" hidden="false" customHeight="false" outlineLevel="0" collapsed="false">
      <c r="A64" s="36" t="s">
        <v>412</v>
      </c>
      <c r="B64" s="4" t="s">
        <v>413</v>
      </c>
      <c r="C64" s="4" t="n">
        <f aca="false">SUMIF(Arm!$C$5:$C$36,A64,Arm!$D$5:$D$36)+SUMIF(Rover!$C$5:$C$39,A64,Rover!$D$5:$D$39)+SUMIF(Hexapod!$C$5:$C$35,A64,Hexapod!$D$5:$D$35)</f>
        <v>1</v>
      </c>
      <c r="D64" s="36" t="n">
        <f aca="false">INDEX(Prices!$E$5:$E$82,MATCH(A64,Prices!$A$5:$A$82,0))</f>
        <v>1</v>
      </c>
      <c r="E64" s="4" t="n">
        <f aca="false">IF(C64&lt;=0,0,CEILING(C64/D64,1))</f>
        <v>1</v>
      </c>
      <c r="F64" s="8" t="n">
        <f aca="false">INDEX(Prices!$H$5:$H$82,MATCH(A64,Prices!$A$5:$A$82,0))</f>
        <v>7.94</v>
      </c>
      <c r="G64" s="32" t="n">
        <f aca="false">E64*F64</f>
        <v>7.94</v>
      </c>
      <c r="H64" s="32" t="n">
        <f aca="false">IF(C64&lt;=0,0,IF(ISNUMBER(INDEX(Prices!$L$5:$L$82,MATCH(A64,Prices!$A$5:$A$82,0))),CEILING(C64/INDEX(Prices!$K$5:$K$82,MATCH(A64,Prices!$A$5:$A$82,0)),1)*INDEX(Prices!$L$5:$L$82,MATCH(A64,Prices!$A$5:$A$82,0)),G64))</f>
        <v>3</v>
      </c>
    </row>
    <row r="65" customFormat="false" ht="15" hidden="false" customHeight="false" outlineLevel="0" collapsed="false">
      <c r="A65" s="36" t="s">
        <v>419</v>
      </c>
      <c r="B65" s="4" t="s">
        <v>420</v>
      </c>
      <c r="C65" s="4" t="n">
        <f aca="false">SUMIF(Arm!$C$5:$C$36,A65,Arm!$D$5:$D$36)+SUMIF(Rover!$C$5:$C$39,A65,Rover!$D$5:$D$39)+SUMIF(Hexapod!$C$5:$C$35,A65,Hexapod!$D$5:$D$35)</f>
        <v>2</v>
      </c>
      <c r="D65" s="36" t="n">
        <f aca="false">INDEX(Prices!$E$5:$E$82,MATCH(A65,Prices!$A$5:$A$82,0))</f>
        <v>100</v>
      </c>
      <c r="E65" s="4" t="n">
        <f aca="false">IF(C65&lt;=0,0,CEILING(C65/D65,1))</f>
        <v>1</v>
      </c>
      <c r="F65" s="8" t="n">
        <f aca="false">INDEX(Prices!$H$5:$H$82,MATCH(A65,Prices!$A$5:$A$82,0))</f>
        <v>9</v>
      </c>
      <c r="G65" s="32" t="n">
        <f aca="false">E65*F65</f>
        <v>9</v>
      </c>
      <c r="H65" s="32" t="n">
        <f aca="false">IF(C65&lt;=0,0,IF(ISNUMBER(INDEX(Prices!$L$5:$L$82,MATCH(A65,Prices!$A$5:$A$82,0))),CEILING(C65/INDEX(Prices!$K$5:$K$82,MATCH(A65,Prices!$A$5:$A$82,0)),1)*INDEX(Prices!$L$5:$L$82,MATCH(A65,Prices!$A$5:$A$82,0)),G65))</f>
        <v>9</v>
      </c>
    </row>
    <row r="66" customFormat="false" ht="15" hidden="false" customHeight="false" outlineLevel="0" collapsed="false">
      <c r="A66" s="36" t="s">
        <v>425</v>
      </c>
      <c r="B66" s="4" t="s">
        <v>426</v>
      </c>
      <c r="C66" s="4" t="n">
        <f aca="false">SUMIF(Arm!$C$5:$C$36,A66,Arm!$D$5:$D$36)+SUMIF(Rover!$C$5:$C$39,A66,Rover!$D$5:$D$39)+SUMIF(Hexapod!$C$5:$C$35,A66,Hexapod!$D$5:$D$35)</f>
        <v>1</v>
      </c>
      <c r="D66" s="36" t="n">
        <f aca="false">INDEX(Prices!$E$5:$E$82,MATCH(A66,Prices!$A$5:$A$82,0))</f>
        <v>1</v>
      </c>
      <c r="E66" s="4" t="n">
        <f aca="false">IF(C66&lt;=0,0,CEILING(C66/D66,1))</f>
        <v>1</v>
      </c>
      <c r="F66" s="8" t="n">
        <f aca="false">INDEX(Prices!$H$5:$H$82,MATCH(A66,Prices!$A$5:$A$82,0))</f>
        <v>2.29</v>
      </c>
      <c r="G66" s="32" t="n">
        <f aca="false">E66*F66</f>
        <v>2.29</v>
      </c>
      <c r="H66" s="32" t="n">
        <f aca="false">IF(C66&lt;=0,0,IF(ISNUMBER(INDEX(Prices!$L$5:$L$82,MATCH(A66,Prices!$A$5:$A$82,0))),CEILING(C66/INDEX(Prices!$K$5:$K$82,MATCH(A66,Prices!$A$5:$A$82,0)),1)*INDEX(Prices!$L$5:$L$82,MATCH(A66,Prices!$A$5:$A$82,0)),G66))</f>
        <v>2.29</v>
      </c>
    </row>
    <row r="67" customFormat="false" ht="15" hidden="false" customHeight="false" outlineLevel="0" collapsed="false">
      <c r="A67" s="36" t="s">
        <v>430</v>
      </c>
      <c r="B67" s="4" t="s">
        <v>431</v>
      </c>
      <c r="C67" s="4" t="n">
        <f aca="false">SUMIF(Arm!$C$5:$C$36,A67,Arm!$D$5:$D$36)+SUMIF(Rover!$C$5:$C$39,A67,Rover!$D$5:$D$39)+SUMIF(Hexapod!$C$5:$C$35,A67,Hexapod!$D$5:$D$35)</f>
        <v>1</v>
      </c>
      <c r="D67" s="36" t="n">
        <f aca="false">INDEX(Prices!$E$5:$E$82,MATCH(A67,Prices!$A$5:$A$82,0))</f>
        <v>1</v>
      </c>
      <c r="E67" s="4" t="n">
        <f aca="false">IF(C67&lt;=0,0,CEILING(C67/D67,1))</f>
        <v>1</v>
      </c>
      <c r="F67" s="8" t="n">
        <f aca="false">INDEX(Prices!$H$5:$H$82,MATCH(A67,Prices!$A$5:$A$82,0))</f>
        <v>0.72</v>
      </c>
      <c r="G67" s="32" t="n">
        <f aca="false">E67*F67</f>
        <v>0.72</v>
      </c>
      <c r="H67" s="32" t="n">
        <f aca="false">IF(C67&lt;=0,0,IF(ISNUMBER(INDEX(Prices!$L$5:$L$82,MATCH(A67,Prices!$A$5:$A$82,0))),CEILING(C67/INDEX(Prices!$K$5:$K$82,MATCH(A67,Prices!$A$5:$A$82,0)),1)*INDEX(Prices!$L$5:$L$82,MATCH(A67,Prices!$A$5:$A$82,0)),G67))</f>
        <v>0.72</v>
      </c>
    </row>
    <row r="68" customFormat="false" ht="15" hidden="false" customHeight="false" outlineLevel="0" collapsed="false">
      <c r="A68" s="36" t="s">
        <v>436</v>
      </c>
      <c r="B68" s="4" t="s">
        <v>437</v>
      </c>
      <c r="C68" s="4" t="n">
        <f aca="false">SUMIF(Arm!$C$5:$C$36,A68,Arm!$D$5:$D$36)+SUMIF(Rover!$C$5:$C$39,A68,Rover!$D$5:$D$39)+SUMIF(Hexapod!$C$5:$C$35,A68,Hexapod!$D$5:$D$35)</f>
        <v>1</v>
      </c>
      <c r="D68" s="36" t="n">
        <f aca="false">INDEX(Prices!$E$5:$E$82,MATCH(A68,Prices!$A$5:$A$82,0))</f>
        <v>1</v>
      </c>
      <c r="E68" s="4" t="n">
        <f aca="false">IF(C68&lt;=0,0,CEILING(C68/D68,1))</f>
        <v>1</v>
      </c>
      <c r="F68" s="8" t="n">
        <f aca="false">INDEX(Prices!$H$5:$H$82,MATCH(A68,Prices!$A$5:$A$82,0))</f>
        <v>34.968507</v>
      </c>
      <c r="G68" s="32" t="n">
        <f aca="false">E68*F68</f>
        <v>34.968507</v>
      </c>
      <c r="H68" s="32" t="n">
        <f aca="false">IF(C68&lt;=0,0,IF(ISNUMBER(INDEX(Prices!$L$5:$L$82,MATCH(A68,Prices!$A$5:$A$82,0))),CEILING(C68/INDEX(Prices!$K$5:$K$82,MATCH(A68,Prices!$A$5:$A$82,0)),1)*INDEX(Prices!$L$5:$L$82,MATCH(A68,Prices!$A$5:$A$82,0)),G68))</f>
        <v>34.968507</v>
      </c>
    </row>
    <row r="69" customFormat="false" ht="15" hidden="false" customHeight="false" outlineLevel="0" collapsed="false">
      <c r="A69" s="36" t="s">
        <v>442</v>
      </c>
      <c r="B69" s="4" t="s">
        <v>443</v>
      </c>
      <c r="C69" s="4" t="n">
        <f aca="false">SUMIF(Arm!$C$5:$C$36,A69,Arm!$D$5:$D$36)+SUMIF(Rover!$C$5:$C$39,A69,Rover!$D$5:$D$39)+SUMIF(Hexapod!$C$5:$C$35,A69,Hexapod!$D$5:$D$35)</f>
        <v>1</v>
      </c>
      <c r="D69" s="36" t="n">
        <f aca="false">INDEX(Prices!$E$5:$E$82,MATCH(A69,Prices!$A$5:$A$82,0))</f>
        <v>1</v>
      </c>
      <c r="E69" s="4" t="n">
        <f aca="false">IF(C69&lt;=0,0,CEILING(C69/D69,1))</f>
        <v>1</v>
      </c>
      <c r="F69" s="8" t="n">
        <f aca="false">INDEX(Prices!$H$5:$H$82,MATCH(A69,Prices!$A$5:$A$82,0))</f>
        <v>15</v>
      </c>
      <c r="G69" s="32" t="n">
        <f aca="false">E69*F69</f>
        <v>15</v>
      </c>
      <c r="H69" s="32" t="n">
        <f aca="false">IF(C69&lt;=0,0,IF(ISNUMBER(INDEX(Prices!$L$5:$L$82,MATCH(A69,Prices!$A$5:$A$82,0))),CEILING(C69/INDEX(Prices!$K$5:$K$82,MATCH(A69,Prices!$A$5:$A$82,0)),1)*INDEX(Prices!$L$5:$L$82,MATCH(A69,Prices!$A$5:$A$82,0)),G69))</f>
        <v>15</v>
      </c>
    </row>
    <row r="70" customFormat="false" ht="15" hidden="false" customHeight="false" outlineLevel="0" collapsed="false">
      <c r="A70" s="36" t="s">
        <v>447</v>
      </c>
      <c r="B70" s="4" t="s">
        <v>448</v>
      </c>
      <c r="C70" s="4" t="n">
        <f aca="false">SUMIF(Arm!$C$5:$C$36,A70,Arm!$D$5:$D$36)+SUMIF(Rover!$C$5:$C$39,A70,Rover!$D$5:$D$39)+SUMIF(Hexapod!$C$5:$C$35,A70,Hexapod!$D$5:$D$35)</f>
        <v>1</v>
      </c>
      <c r="D70" s="36" t="n">
        <f aca="false">INDEX(Prices!$E$5:$E$82,MATCH(A70,Prices!$A$5:$A$82,0))</f>
        <v>1</v>
      </c>
      <c r="E70" s="4" t="n">
        <f aca="false">IF(C70&lt;=0,0,CEILING(C70/D70,1))</f>
        <v>1</v>
      </c>
      <c r="F70" s="8" t="n">
        <f aca="false">INDEX(Prices!$H$5:$H$82,MATCH(A70,Prices!$A$5:$A$82,0))</f>
        <v>23.99</v>
      </c>
      <c r="G70" s="32" t="n">
        <f aca="false">E70*F70</f>
        <v>23.99</v>
      </c>
      <c r="H70" s="32" t="n">
        <f aca="false">IF(C70&lt;=0,0,IF(ISNUMBER(INDEX(Prices!$L$5:$L$82,MATCH(A70,Prices!$A$5:$A$82,0))),CEILING(C70/INDEX(Prices!$K$5:$K$82,MATCH(A70,Prices!$A$5:$A$82,0)),1)*INDEX(Prices!$L$5:$L$82,MATCH(A70,Prices!$A$5:$A$82,0)),G70))</f>
        <v>8</v>
      </c>
    </row>
    <row r="71" customFormat="false" ht="15" hidden="false" customHeight="false" outlineLevel="0" collapsed="false">
      <c r="A71" s="36" t="s">
        <v>454</v>
      </c>
      <c r="B71" s="4" t="s">
        <v>455</v>
      </c>
      <c r="C71" s="4" t="n">
        <f aca="false">SUMIF(Arm!$C$5:$C$36,A71,Arm!$D$5:$D$36)+SUMIF(Rover!$C$5:$C$39,A71,Rover!$D$5:$D$39)+SUMIF(Hexapod!$C$5:$C$35,A71,Hexapod!$D$5:$D$35)</f>
        <v>2</v>
      </c>
      <c r="D71" s="36" t="n">
        <f aca="false">INDEX(Prices!$E$5:$E$82,MATCH(A71,Prices!$A$5:$A$82,0))</f>
        <v>2</v>
      </c>
      <c r="E71" s="4" t="n">
        <f aca="false">IF(C71&lt;=0,0,CEILING(C71/D71,1))</f>
        <v>1</v>
      </c>
      <c r="F71" s="8" t="n">
        <f aca="false">INDEX(Prices!$H$5:$H$82,MATCH(A71,Prices!$A$5:$A$82,0))</f>
        <v>8.983506</v>
      </c>
      <c r="G71" s="32" t="n">
        <f aca="false">E71*F71</f>
        <v>8.983506</v>
      </c>
      <c r="H71" s="32" t="n">
        <f aca="false">IF(C71&lt;=0,0,IF(ISNUMBER(INDEX(Prices!$L$5:$L$82,MATCH(A71,Prices!$A$5:$A$82,0))),CEILING(C71/INDEX(Prices!$K$5:$K$82,MATCH(A71,Prices!$A$5:$A$82,0)),1)*INDEX(Prices!$L$5:$L$82,MATCH(A71,Prices!$A$5:$A$82,0)),G71))</f>
        <v>8.983506</v>
      </c>
    </row>
    <row r="72" customFormat="false" ht="15" hidden="false" customHeight="false" outlineLevel="0" collapsed="false">
      <c r="A72" s="36" t="s">
        <v>459</v>
      </c>
      <c r="B72" s="4" t="s">
        <v>460</v>
      </c>
      <c r="C72" s="4" t="n">
        <f aca="false">SUMIF(Arm!$C$5:$C$36,A72,Arm!$D$5:$D$36)+SUMIF(Rover!$C$5:$C$39,A72,Rover!$D$5:$D$39)+SUMIF(Hexapod!$C$5:$C$35,A72,Hexapod!$D$5:$D$35)</f>
        <v>1</v>
      </c>
      <c r="D72" s="36" t="n">
        <f aca="false">INDEX(Prices!$E$5:$E$82,MATCH(A72,Prices!$A$5:$A$82,0))</f>
        <v>1</v>
      </c>
      <c r="E72" s="4" t="n">
        <f aca="false">IF(C72&lt;=0,0,CEILING(C72/D72,1))</f>
        <v>1</v>
      </c>
      <c r="F72" s="8" t="n">
        <f aca="false">INDEX(Prices!$H$5:$H$82,MATCH(A72,Prices!$A$5:$A$82,0))</f>
        <v>5.62</v>
      </c>
      <c r="G72" s="32" t="n">
        <f aca="false">E72*F72</f>
        <v>5.62</v>
      </c>
      <c r="H72" s="32" t="n">
        <f aca="false">IF(C72&lt;=0,0,IF(ISNUMBER(INDEX(Prices!$L$5:$L$82,MATCH(A72,Prices!$A$5:$A$82,0))),CEILING(C72/INDEX(Prices!$K$5:$K$82,MATCH(A72,Prices!$A$5:$A$82,0)),1)*INDEX(Prices!$L$5:$L$82,MATCH(A72,Prices!$A$5:$A$82,0)),G72))</f>
        <v>5.62</v>
      </c>
    </row>
    <row r="73" customFormat="false" ht="15" hidden="false" customHeight="false" outlineLevel="0" collapsed="false">
      <c r="A73" s="36" t="s">
        <v>464</v>
      </c>
      <c r="B73" s="4" t="s">
        <v>465</v>
      </c>
      <c r="C73" s="4" t="n">
        <f aca="false">SUMIF(Arm!$C$5:$C$36,A73,Arm!$D$5:$D$36)+SUMIF(Rover!$C$5:$C$39,A73,Rover!$D$5:$D$39)+SUMIF(Hexapod!$C$5:$C$35,A73,Hexapod!$D$5:$D$35)</f>
        <v>0.2</v>
      </c>
      <c r="D73" s="36" t="n">
        <f aca="false">INDEX(Prices!$E$5:$E$82,MATCH(A73,Prices!$A$5:$A$82,0))</f>
        <v>1</v>
      </c>
      <c r="E73" s="4" t="n">
        <f aca="false">IF(C73&lt;=0,0,CEILING(C73/D73,1))</f>
        <v>1</v>
      </c>
      <c r="F73" s="8" t="n">
        <f aca="false">INDEX(Prices!$H$5:$H$82,MATCH(A73,Prices!$A$5:$A$82,0))</f>
        <v>19.93</v>
      </c>
      <c r="G73" s="32" t="n">
        <f aca="false">E73*F73</f>
        <v>19.93</v>
      </c>
      <c r="H73" s="32" t="n">
        <f aca="false">IF(C73&lt;=0,0,IF(ISNUMBER(INDEX(Prices!$L$5:$L$82,MATCH(A73,Prices!$A$5:$A$82,0))),CEILING(C73/INDEX(Prices!$K$5:$K$82,MATCH(A73,Prices!$A$5:$A$82,0)),1)*INDEX(Prices!$L$5:$L$82,MATCH(A73,Prices!$A$5:$A$82,0)),G73))</f>
        <v>19.93</v>
      </c>
    </row>
    <row r="74" customFormat="false" ht="15" hidden="false" customHeight="false" outlineLevel="0" collapsed="false">
      <c r="A74" s="36" t="s">
        <v>469</v>
      </c>
      <c r="B74" s="4" t="s">
        <v>470</v>
      </c>
      <c r="C74" s="4" t="n">
        <f aca="false">SUMIF(Arm!$C$5:$C$36,A74,Arm!$D$5:$D$36)+SUMIF(Rover!$C$5:$C$39,A74,Rover!$D$5:$D$39)+SUMIF(Hexapod!$C$5:$C$35,A74,Hexapod!$D$5:$D$35)</f>
        <v>4</v>
      </c>
      <c r="D74" s="36" t="n">
        <f aca="false">INDEX(Prices!$E$5:$E$82,MATCH(A74,Prices!$A$5:$A$82,0))</f>
        <v>25</v>
      </c>
      <c r="E74" s="4" t="n">
        <f aca="false">IF(C74&lt;=0,0,CEILING(C74/D74,1))</f>
        <v>1</v>
      </c>
      <c r="F74" s="8" t="n">
        <f aca="false">INDEX(Prices!$H$5:$H$82,MATCH(A74,Prices!$A$5:$A$82,0))</f>
        <v>4</v>
      </c>
      <c r="G74" s="32" t="n">
        <f aca="false">E74*F74</f>
        <v>4</v>
      </c>
      <c r="H74" s="32" t="n">
        <f aca="false">IF(C74&lt;=0,0,IF(ISNUMBER(INDEX(Prices!$L$5:$L$82,MATCH(A74,Prices!$A$5:$A$82,0))),CEILING(C74/INDEX(Prices!$K$5:$K$82,MATCH(A74,Prices!$A$5:$A$82,0)),1)*INDEX(Prices!$L$5:$L$82,MATCH(A74,Prices!$A$5:$A$82,0)),G74))</f>
        <v>4</v>
      </c>
    </row>
    <row r="75" customFormat="false" ht="15" hidden="false" customHeight="false" outlineLevel="0" collapsed="false">
      <c r="A75" s="36" t="s">
        <v>474</v>
      </c>
      <c r="B75" s="4" t="s">
        <v>475</v>
      </c>
      <c r="C75" s="4" t="n">
        <f aca="false">SUMIF(Arm!$C$5:$C$36,A75,Arm!$D$5:$D$36)+SUMIF(Rover!$C$5:$C$39,A75,Rover!$D$5:$D$39)+SUMIF(Hexapod!$C$5:$C$35,A75,Hexapod!$D$5:$D$35)</f>
        <v>1</v>
      </c>
      <c r="D75" s="36" t="n">
        <f aca="false">INDEX(Prices!$E$5:$E$82,MATCH(A75,Prices!$A$5:$A$82,0))</f>
        <v>1</v>
      </c>
      <c r="E75" s="4" t="n">
        <f aca="false">IF(C75&lt;=0,0,CEILING(C75/D75,1))</f>
        <v>1</v>
      </c>
      <c r="F75" s="8" t="n">
        <f aca="false">INDEX(Prices!$H$5:$H$82,MATCH(A75,Prices!$A$5:$A$82,0))</f>
        <v>2.770614</v>
      </c>
      <c r="G75" s="32" t="n">
        <f aca="false">E75*F75</f>
        <v>2.770614</v>
      </c>
      <c r="H75" s="32" t="n">
        <f aca="false">IF(C75&lt;=0,0,IF(ISNUMBER(INDEX(Prices!$L$5:$L$82,MATCH(A75,Prices!$A$5:$A$82,0))),CEILING(C75/INDEX(Prices!$K$5:$K$82,MATCH(A75,Prices!$A$5:$A$82,0)),1)*INDEX(Prices!$L$5:$L$82,MATCH(A75,Prices!$A$5:$A$82,0)),G75))</f>
        <v>2.770614</v>
      </c>
    </row>
    <row r="76" customFormat="false" ht="15" hidden="false" customHeight="false" outlineLevel="0" collapsed="false">
      <c r="A76" s="36" t="s">
        <v>479</v>
      </c>
      <c r="B76" s="4" t="s">
        <v>480</v>
      </c>
      <c r="C76" s="4" t="n">
        <f aca="false">SUMIF(Arm!$C$5:$C$36,A76,Arm!$D$5:$D$36)+SUMIF(Rover!$C$5:$C$39,A76,Rover!$D$5:$D$39)+SUMIF(Hexapod!$C$5:$C$35,A76,Hexapod!$D$5:$D$35)</f>
        <v>45</v>
      </c>
      <c r="D76" s="36" t="n">
        <f aca="false">INDEX(Prices!$E$5:$E$82,MATCH(A76,Prices!$A$5:$A$82,0))</f>
        <v>100</v>
      </c>
      <c r="E76" s="4" t="n">
        <f aca="false">IF(C76&lt;=0,0,CEILING(C76/D76,1))</f>
        <v>1</v>
      </c>
      <c r="F76" s="8" t="n">
        <f aca="false">INDEX(Prices!$H$5:$H$82,MATCH(A76,Prices!$A$5:$A$82,0))</f>
        <v>5.99</v>
      </c>
      <c r="G76" s="32" t="n">
        <f aca="false">E76*F76</f>
        <v>5.99</v>
      </c>
      <c r="H76" s="32" t="n">
        <f aca="false">IF(C76&lt;=0,0,IF(ISNUMBER(INDEX(Prices!$L$5:$L$82,MATCH(A76,Prices!$A$5:$A$82,0))),CEILING(C76/INDEX(Prices!$K$5:$K$82,MATCH(A76,Prices!$A$5:$A$82,0)),1)*INDEX(Prices!$L$5:$L$82,MATCH(A76,Prices!$A$5:$A$82,0)),G76))</f>
        <v>5.99</v>
      </c>
    </row>
    <row r="78" customFormat="false" ht="15" hidden="false" customHeight="false" outlineLevel="0" collapsed="false">
      <c r="B78" s="4" t="s">
        <v>617</v>
      </c>
      <c r="C78" s="36" t="n">
        <f aca="false">Arm!D39+Rover!D42+Hexapod!D38</f>
        <v>1.141</v>
      </c>
      <c r="G78" s="32" t="n">
        <f aca="false">CEILING(C78,1)*Summary!$C$9</f>
        <v>29.98</v>
      </c>
      <c r="H78" s="32" t="n">
        <f aca="false">C78*Summary!$C$9</f>
        <v>17.10359</v>
      </c>
    </row>
    <row r="79" customFormat="false" ht="15" hidden="false" customHeight="false" outlineLevel="0" collapsed="false">
      <c r="B79" s="4" t="s">
        <v>618</v>
      </c>
      <c r="G79" s="8" t="n">
        <f aca="false">Arm!J40+Rover!J43+Hexapod!J39</f>
        <v>1.4127696</v>
      </c>
      <c r="H79" s="32" t="n">
        <f aca="false">G79</f>
        <v>1.4127696</v>
      </c>
    </row>
    <row r="81" customFormat="false" ht="15" hidden="false" customHeight="false" outlineLevel="0" collapsed="false">
      <c r="B81" s="34" t="s">
        <v>18</v>
      </c>
      <c r="G81" s="35" t="n">
        <f aca="false">SUM(G5:G76)+G78+G79</f>
        <v>865.3569096</v>
      </c>
      <c r="H81" s="35" t="n">
        <f aca="false">SUM(H5:H76)+H78+H79</f>
        <v>699.8773346</v>
      </c>
    </row>
  </sheetData>
  <mergeCells count="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2026-10-26T18:59:19Z</dcterms:created>
  <dc:creator>openpyxl</dc:creator>
  <dc:description/>
  <dc:language>en-US</dc:language>
  <cp:lastModifiedBy/>
  <dcterms:modified xsi:type="dcterms:W3CDTF">2026-10-26T18:59:19Z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